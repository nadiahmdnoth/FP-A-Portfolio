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nadiah/Downloads/"/>
    </mc:Choice>
  </mc:AlternateContent>
  <xr:revisionPtr revIDLastSave="0" documentId="13_ncr:1_{4918AC82-86FD-4944-A5F8-25EE53A51CC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ecutive Dashboard" sheetId="1" r:id="rId1"/>
    <sheet name="Monthly Performance" sheetId="2" r:id="rId2"/>
    <sheet name="Fictional Inputs" sheetId="3" r:id="rId3"/>
    <sheet name="Read 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N17" i="2"/>
  <c r="D9" i="1" s="1"/>
  <c r="N15" i="2"/>
  <c r="G15" i="2"/>
  <c r="F15" i="2"/>
  <c r="H15" i="2" s="1"/>
  <c r="C15" i="2"/>
  <c r="B15" i="2"/>
  <c r="I15" i="2" s="1"/>
  <c r="A15" i="2"/>
  <c r="N14" i="2"/>
  <c r="G14" i="2"/>
  <c r="F14" i="2"/>
  <c r="H14" i="2" s="1"/>
  <c r="C14" i="2"/>
  <c r="B14" i="2"/>
  <c r="I14" i="2" s="1"/>
  <c r="A14" i="2"/>
  <c r="N13" i="2"/>
  <c r="G13" i="2"/>
  <c r="F13" i="2"/>
  <c r="H13" i="2" s="1"/>
  <c r="C13" i="2"/>
  <c r="B13" i="2"/>
  <c r="I13" i="2" s="1"/>
  <c r="A13" i="2"/>
  <c r="N12" i="2"/>
  <c r="G12" i="2"/>
  <c r="F12" i="2"/>
  <c r="H12" i="2" s="1"/>
  <c r="C12" i="2"/>
  <c r="B12" i="2"/>
  <c r="I12" i="2" s="1"/>
  <c r="A12" i="2"/>
  <c r="N11" i="2"/>
  <c r="G11" i="2"/>
  <c r="F11" i="2"/>
  <c r="H11" i="2" s="1"/>
  <c r="C11" i="2"/>
  <c r="B11" i="2"/>
  <c r="A11" i="2"/>
  <c r="N10" i="2"/>
  <c r="O10" i="2" s="1"/>
  <c r="G10" i="2"/>
  <c r="F10" i="2"/>
  <c r="H10" i="2" s="1"/>
  <c r="C10" i="2"/>
  <c r="B10" i="2"/>
  <c r="I10" i="2" s="1"/>
  <c r="A10" i="2"/>
  <c r="N9" i="2"/>
  <c r="G9" i="2"/>
  <c r="F9" i="2"/>
  <c r="H9" i="2" s="1"/>
  <c r="C9" i="2"/>
  <c r="B9" i="2"/>
  <c r="I9" i="2" s="1"/>
  <c r="A9" i="2"/>
  <c r="N8" i="2"/>
  <c r="G8" i="2"/>
  <c r="F8" i="2"/>
  <c r="H8" i="2" s="1"/>
  <c r="C8" i="2"/>
  <c r="B8" i="2"/>
  <c r="A8" i="2"/>
  <c r="A18" i="1" s="1"/>
  <c r="N7" i="2"/>
  <c r="D17" i="1" s="1"/>
  <c r="G7" i="2"/>
  <c r="F7" i="2"/>
  <c r="H7" i="2" s="1"/>
  <c r="C7" i="2"/>
  <c r="B7" i="2"/>
  <c r="A7" i="2"/>
  <c r="A17" i="1" s="1"/>
  <c r="N6" i="2"/>
  <c r="D16" i="1" s="1"/>
  <c r="G6" i="2"/>
  <c r="F6" i="2"/>
  <c r="H6" i="2" s="1"/>
  <c r="C6" i="2"/>
  <c r="B6" i="2"/>
  <c r="A6" i="2"/>
  <c r="A16" i="1" s="1"/>
  <c r="N5" i="2"/>
  <c r="D15" i="1" s="1"/>
  <c r="G5" i="2"/>
  <c r="F5" i="2"/>
  <c r="H5" i="2" s="1"/>
  <c r="C5" i="2"/>
  <c r="B5" i="2"/>
  <c r="A5" i="2"/>
  <c r="A15" i="1" s="1"/>
  <c r="N4" i="2"/>
  <c r="G4" i="2"/>
  <c r="F4" i="2"/>
  <c r="C4" i="2"/>
  <c r="B4" i="2"/>
  <c r="B14" i="1" s="1"/>
  <c r="A4" i="2"/>
  <c r="A14" i="1" s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O15" i="2" l="1"/>
  <c r="J15" i="2"/>
  <c r="D15" i="2"/>
  <c r="E15" i="2" s="1"/>
  <c r="O14" i="2"/>
  <c r="J14" i="2"/>
  <c r="D14" i="2"/>
  <c r="E14" i="2" s="1"/>
  <c r="O13" i="2"/>
  <c r="D13" i="2"/>
  <c r="E13" i="2" s="1"/>
  <c r="J13" i="2"/>
  <c r="O12" i="2"/>
  <c r="J12" i="2"/>
  <c r="D12" i="2"/>
  <c r="E12" i="2" s="1"/>
  <c r="C17" i="2"/>
  <c r="J11" i="2"/>
  <c r="D11" i="2"/>
  <c r="E11" i="2" s="1"/>
  <c r="O11" i="2"/>
  <c r="B17" i="2"/>
  <c r="A9" i="1" s="1"/>
  <c r="I11" i="2"/>
  <c r="J10" i="2"/>
  <c r="D10" i="2"/>
  <c r="E10" i="2" s="1"/>
  <c r="O9" i="2"/>
  <c r="J9" i="2"/>
  <c r="D9" i="2"/>
  <c r="E9" i="2" s="1"/>
  <c r="D8" i="2"/>
  <c r="E8" i="2" s="1"/>
  <c r="J8" i="2"/>
  <c r="O8" i="2"/>
  <c r="I8" i="2"/>
  <c r="B18" i="1"/>
  <c r="C17" i="1"/>
  <c r="O7" i="2"/>
  <c r="J7" i="2"/>
  <c r="D7" i="2"/>
  <c r="E7" i="2" s="1"/>
  <c r="B17" i="1"/>
  <c r="I7" i="2"/>
  <c r="C16" i="1"/>
  <c r="D6" i="2"/>
  <c r="E6" i="2" s="1"/>
  <c r="O6" i="2"/>
  <c r="J6" i="2"/>
  <c r="B16" i="1"/>
  <c r="I6" i="2"/>
  <c r="C15" i="1"/>
  <c r="D5" i="2"/>
  <c r="E5" i="2" s="1"/>
  <c r="J5" i="2"/>
  <c r="O5" i="2"/>
  <c r="B15" i="1"/>
  <c r="I5" i="2"/>
  <c r="D14" i="1"/>
  <c r="O4" i="2"/>
  <c r="G17" i="2"/>
  <c r="J4" i="2"/>
  <c r="F17" i="2"/>
  <c r="I4" i="2"/>
  <c r="I17" i="2" s="1"/>
  <c r="H4" i="2"/>
  <c r="H17" i="2" s="1"/>
  <c r="D4" i="2"/>
  <c r="C14" i="1"/>
  <c r="K15" i="2" l="1"/>
  <c r="L15" i="2"/>
  <c r="M15" i="2"/>
  <c r="E25" i="1"/>
  <c r="K14" i="2"/>
  <c r="L14" i="2"/>
  <c r="M14" i="2"/>
  <c r="E24" i="1"/>
  <c r="K13" i="2"/>
  <c r="L13" i="2"/>
  <c r="E23" i="1"/>
  <c r="M13" i="2"/>
  <c r="K12" i="2"/>
  <c r="L12" i="2"/>
  <c r="M12" i="2"/>
  <c r="E22" i="1"/>
  <c r="A5" i="1"/>
  <c r="O17" i="2"/>
  <c r="K11" i="2"/>
  <c r="L11" i="2"/>
  <c r="M11" i="2"/>
  <c r="E21" i="1"/>
  <c r="E20" i="1"/>
  <c r="K10" i="2"/>
  <c r="L10" i="2"/>
  <c r="M10" i="2"/>
  <c r="K9" i="2"/>
  <c r="L9" i="2"/>
  <c r="M9" i="2"/>
  <c r="E19" i="1"/>
  <c r="K8" i="2"/>
  <c r="L8" i="2"/>
  <c r="M8" i="2"/>
  <c r="E18" i="1"/>
  <c r="K7" i="2"/>
  <c r="L7" i="2"/>
  <c r="M7" i="2"/>
  <c r="E17" i="1"/>
  <c r="K6" i="2"/>
  <c r="L6" i="2"/>
  <c r="M6" i="2"/>
  <c r="E16" i="1"/>
  <c r="K5" i="2"/>
  <c r="L5" i="2"/>
  <c r="M5" i="2"/>
  <c r="E15" i="1"/>
  <c r="K4" i="2"/>
  <c r="K17" i="2" s="1"/>
  <c r="E14" i="1"/>
  <c r="L4" i="2"/>
  <c r="M4" i="2"/>
  <c r="M17" i="2" s="1"/>
  <c r="G9" i="1" s="1"/>
  <c r="J17" i="2"/>
  <c r="I17" i="1"/>
  <c r="G23" i="1"/>
  <c r="E4" i="2"/>
  <c r="D17" i="2"/>
  <c r="I18" i="1" l="1"/>
  <c r="J9" i="1"/>
  <c r="L17" i="2"/>
  <c r="G5" i="1"/>
  <c r="I15" i="1"/>
  <c r="E17" i="2"/>
  <c r="G22" i="1"/>
  <c r="J5" i="1" l="1"/>
  <c r="I16" i="1"/>
  <c r="D5" i="1"/>
  <c r="I14" i="1"/>
</calcChain>
</file>

<file path=xl/sharedStrings.xml><?xml version="1.0" encoding="utf-8"?>
<sst xmlns="http://schemas.openxmlformats.org/spreadsheetml/2006/main" count="111" uniqueCount="106">
  <si>
    <t>FINANCIAL PERFORMANCE | FY2026</t>
  </si>
  <si>
    <t>Executive management dashboard • RM million unless noted • fictional demonstration</t>
  </si>
  <si>
    <t>REVENUE ACTUAL</t>
  </si>
  <si>
    <t>REVENUE VS BUDGET</t>
  </si>
  <si>
    <t>GROSS PROFIT</t>
  </si>
  <si>
    <t>GP MARGIN</t>
  </si>
  <si>
    <t>BUDGET REVENUE</t>
  </si>
  <si>
    <t>REVENUE FORECAST</t>
  </si>
  <si>
    <t>EBITDA PROXY</t>
  </si>
  <si>
    <t>FORECAST VARIANCE</t>
  </si>
  <si>
    <t>Month</t>
  </si>
  <si>
    <t>Budget RMm</t>
  </si>
  <si>
    <t>Actual RMm</t>
  </si>
  <si>
    <t>Forecast RMm</t>
  </si>
  <si>
    <t>GP RMm</t>
  </si>
  <si>
    <t>Management insights</t>
  </si>
  <si>
    <t>Metric</t>
  </si>
  <si>
    <t>Value</t>
  </si>
  <si>
    <t>Interpretation</t>
  </si>
  <si>
    <t>Revenue delivery</t>
  </si>
  <si>
    <t>Actual / budget</t>
  </si>
  <si>
    <t>Positive indicates outperformance</t>
  </si>
  <si>
    <t>Gross profit</t>
  </si>
  <si>
    <t>GP after direct costs (not vs budget)</t>
  </si>
  <si>
    <t>Margin quality</t>
  </si>
  <si>
    <t>GP margin</t>
  </si>
  <si>
    <t>Gross profit / revenue</t>
  </si>
  <si>
    <t>Cost discipline</t>
  </si>
  <si>
    <t>Cost variance RMm</t>
  </si>
  <si>
    <t>Positive = cost below budget</t>
  </si>
  <si>
    <t>Forecast accuracy</t>
  </si>
  <si>
    <t>Actual vs forecast</t>
  </si>
  <si>
    <t>Closer to zero = more accurate</t>
  </si>
  <si>
    <t>MANAGEMENT COMMENTARY</t>
  </si>
  <si>
    <t>Methodology: GP = revenue − illustrative modeled costs. EBITDA proxy equals GP because no separate operating expense categories are modeled.</t>
  </si>
  <si>
    <t>Portfolio disclaimer: No employer, client or confidential financial data used.</t>
  </si>
  <si>
    <t>FY2026 | MONTHLY PERFORMANCE ANALYSIS</t>
  </si>
  <si>
    <t>Rev Budget</t>
  </si>
  <si>
    <t>Rev Actual</t>
  </si>
  <si>
    <t>Rev Var RM</t>
  </si>
  <si>
    <t>Rev Var %</t>
  </si>
  <si>
    <t>Cost Budget</t>
  </si>
  <si>
    <t>Cost Actual</t>
  </si>
  <si>
    <t>Cost Var RM</t>
  </si>
  <si>
    <t>GP Budget</t>
  </si>
  <si>
    <t>GP Actual</t>
  </si>
  <si>
    <t>GP Var RM</t>
  </si>
  <si>
    <t>GP Margin</t>
  </si>
  <si>
    <t>EBITDA Proxy</t>
  </si>
  <si>
    <t>Rev Forecast</t>
  </si>
  <si>
    <t>Forecast Var %</t>
  </si>
  <si>
    <t>FY TOTAL</t>
  </si>
  <si>
    <t>FY2026 FICTIONAL FINANCIAL INPUTS</t>
  </si>
  <si>
    <t>Revenue Budget (RM)</t>
  </si>
  <si>
    <t>Revenue Actual (RM)</t>
  </si>
  <si>
    <t>Cost Budget (RM)</t>
  </si>
  <si>
    <t>Cost Actual (RM)</t>
  </si>
  <si>
    <t>Revenue Forecast (RM)</t>
  </si>
  <si>
    <t>Cost Forecast (RM)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</si>
  <si>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</si>
  <si>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</si>
  <si>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</si>
  <si>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</si>
  <si>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</si>
  <si>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</si>
  <si>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</si>
  <si>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</si>
  <si>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</si>
  <si>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</si>
  <si>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</si>
  <si>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</si>
  <si>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 classification</t>
  </si>
  <si>
    <t>100% fictional data — for portfolio demonstration only</t>
  </si>
  <si>
    <t>Cost definition</t>
  </si>
  <si>
    <t>Illustrative project direct costs + operating costs combined</t>
  </si>
  <si>
    <t>EBITDA proxy</t>
  </si>
  <si>
    <t>Revenue minus modeled cost; excludes financing, tax, D&amp;A (not separately modeled)</t>
  </si>
  <si>
    <t>Forecast definition</t>
  </si>
  <si>
    <t>Independent fictional full-year monthly forecast for comparison</t>
  </si>
  <si>
    <t>PROJECT 01 | FINANCIAL PERFORMANCE DASHBOARD</t>
  </si>
  <si>
    <t>Purpose</t>
  </si>
  <si>
    <t>Demonstrate budget-versus-actual review, forecast tracking, margins and executive insights.</t>
  </si>
  <si>
    <t>Dataset</t>
  </si>
  <si>
    <t>Synthetic FY2026 monthly values only. Not actual results of any company.</t>
  </si>
  <si>
    <t>1 — Inputs</t>
  </si>
  <si>
    <t>Change blue-number cells on Fictional Inputs. All calculations update.</t>
  </si>
  <si>
    <t>2 — Analysis</t>
  </si>
  <si>
    <t>Monthly Performance calculates revenue, gross profit, favorable cost variance and forecast comparison.</t>
  </si>
  <si>
    <t>3 — Dashboard</t>
  </si>
  <si>
    <t>Executive Dashboard displays formula-driven KPIs, trends and management commentary.</t>
  </si>
  <si>
    <t>Revenue variance</t>
  </si>
  <si>
    <t>Actual revenue minus budget; positive is favorable.</t>
  </si>
  <si>
    <t>Cost variance</t>
  </si>
  <si>
    <t>Budget cost minus actual cost; positive is favorable.</t>
  </si>
  <si>
    <t>Revenue minus illustrative modeled costs.</t>
  </si>
  <si>
    <t>Gross profit margin</t>
  </si>
  <si>
    <t>Gross profit divided by actual revenue.</t>
  </si>
  <si>
    <t>Equals modeled gross profit; NOT a true EBITDA reconciliation without separate operating expenses.</t>
  </si>
  <si>
    <t>Forecast variance</t>
  </si>
  <si>
    <t>Actual revenue divided by forecast revenue, minus one.</t>
  </si>
  <si>
    <t>Units</t>
  </si>
  <si>
    <t>Raw source sheets in RM; dashboard financial KPIs in RM millions.</t>
  </si>
  <si>
    <t>Publishing</t>
  </si>
  <si>
    <t>Upload this workbook and README.md into 01-Financial-Performance-Dashboard/ on GitHub.</t>
  </si>
  <si>
    <t>Confidentiality</t>
  </si>
  <si>
    <t>Do not replace sample inputs with nonpublic employer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</si>
</sst>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[Red]\(0.0%\);\-"/>
    <numFmt numFmtId="165" formatCode="#,##0.0;[Red]\(#,##0.0\);\-"/>
    <numFmt numFmtId="166" formatCode="#,##0;[Red]\(#,##0\);\-"/>
    <numFmt numFmtId="167" formatCode="0.0;[Red]\(0.0\);\-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14243A"/>
      <name val="Carlito"/>
    </font>
    <font>
      <sz val="11"/>
      <color rgb="FF64748B"/>
      <name val="Carlito"/>
    </font>
    <font>
      <b/>
      <sz val="20"/>
      <color rgb="FF14243A"/>
      <name val="Carlito"/>
    </font>
    <font>
      <b/>
      <sz val="11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243A"/>
      </patternFill>
    </fill>
    <fill>
      <patternFill patternType="solid">
        <fgColor rgb="FF0F766E"/>
      </patternFill>
    </fill>
    <fill>
      <patternFill patternType="solid">
        <fgColor rgb="FFEA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166" fontId="3" fillId="0" borderId="0" xfId="0" applyNumberFormat="1" applyFont="1"/>
    <xf numFmtId="166" fontId="0" fillId="0" borderId="0" xfId="0" applyNumberFormat="1"/>
    <xf numFmtId="0" fontId="4" fillId="4" borderId="0" xfId="0" applyFont="1" applyFill="1"/>
    <xf numFmtId="166" fontId="4" fillId="4" borderId="0" xfId="0" applyNumberFormat="1" applyFont="1" applyFill="1"/>
    <xf numFmtId="164" fontId="4" fillId="4" borderId="0" xfId="0" applyNumberFormat="1" applyFont="1" applyFill="1"/>
    <xf numFmtId="0" fontId="5" fillId="0" borderId="0" xfId="0" applyFont="1"/>
    <xf numFmtId="0" fontId="2" fillId="2" borderId="0" xfId="0" applyFont="1" applyFill="1"/>
    <xf numFmtId="165" fontId="6" fillId="4" borderId="0" xfId="0" applyNumberFormat="1" applyFont="1" applyFill="1"/>
    <xf numFmtId="164" fontId="6" fillId="4" borderId="0" xfId="0" applyNumberFormat="1" applyFont="1" applyFill="1"/>
    <xf numFmtId="167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MY"/>
              <a:t>Monthly revenue | Budget vs Actual vs Forecast (RMm)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 RMm</c:v>
          </c:tx>
          <c:marker>
            <c:symbol val="none"/>
          </c:marker>
          <c:cat>
            <c:strRef>
              <c:f>'Executive Dashboard'!$A$14:$A$25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Dashboard'!$B$14:$B$25</c:f>
              <c:numCache>
                <c:formatCode>0.0;[Red]\(0.0\);\-</c:formatCode>
                <c:ptCount val="12"/>
                <c:pt idx="0">
                  <c:v>16.282605</c:v>
                </c:pt>
                <c:pt idx="1">
                  <c:v>16.753705</c:v>
                </c:pt>
                <c:pt idx="2">
                  <c:v>16.325623</c:v>
                </c:pt>
                <c:pt idx="3">
                  <c:v>17.415483999999999</c:v>
                </c:pt>
                <c:pt idx="4">
                  <c:v>17.607496000000001</c:v>
                </c:pt>
                <c:pt idx="5">
                  <c:v>18.631160999999999</c:v>
                </c:pt>
                <c:pt idx="6">
                  <c:v>18.632127000000001</c:v>
                </c:pt>
                <c:pt idx="7">
                  <c:v>17.918510000000001</c:v>
                </c:pt>
                <c:pt idx="8">
                  <c:v>18.974610999999999</c:v>
                </c:pt>
                <c:pt idx="9">
                  <c:v>19.648855999999999</c:v>
                </c:pt>
                <c:pt idx="10">
                  <c:v>18.962586000000002</c:v>
                </c:pt>
                <c:pt idx="11">
                  <c:v>20.007349000000001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F-B643-9597-CCEE68CF39BC}"/>
            </c:ext>
          </c:extLst>
        </c:ser>
        <c:ser>
          <c:idx val="1"/>
          <c:order val="1"/>
          <c:tx>
            <c:v>Actual RMm</c:v>
          </c:tx>
          <c:marker>
            <c:symbol val="none"/>
          </c:marker>
          <c:cat>
            <c:strRef>
              <c:f>'Executive Dashboard'!$A$14:$A$25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Dashboard'!$C$14:$C$25</c:f>
              <c:numCache>
                <c:formatCode>0.0;[Red]\(0.0\);\-</c:formatCode>
                <c:ptCount val="12"/>
                <c:pt idx="0">
                  <c:v>16.638999999999999</c:v>
                </c:pt>
                <c:pt idx="1">
                  <c:v>15.433</c:v>
                </c:pt>
                <c:pt idx="2">
                  <c:v>16.667000000000002</c:v>
                </c:pt>
                <c:pt idx="3">
                  <c:v>17.007999999999999</c:v>
                </c:pt>
                <c:pt idx="4">
                  <c:v>17.957000000000001</c:v>
                </c:pt>
                <c:pt idx="5">
                  <c:v>18.911000000000001</c:v>
                </c:pt>
                <c:pt idx="6">
                  <c:v>18.992000000000001</c:v>
                </c:pt>
                <c:pt idx="7">
                  <c:v>16.856999999999999</c:v>
                </c:pt>
                <c:pt idx="8">
                  <c:v>20.04</c:v>
                </c:pt>
                <c:pt idx="9">
                  <c:v>20.8</c:v>
                </c:pt>
                <c:pt idx="10">
                  <c:v>17.582000000000001</c:v>
                </c:pt>
                <c:pt idx="11">
                  <c:v>20.353999999999999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F-B643-9597-CCEE68CF39BC}"/>
            </c:ext>
          </c:extLst>
        </c:ser>
        <c:ser>
          <c:idx val="2"/>
          <c:order val="2"/>
          <c:tx>
            <c:v>Forecast RMm</c:v>
          </c:tx>
          <c:marker>
            <c:symbol val="none"/>
          </c:marker>
          <c:cat>
            <c:strRef>
              <c:f>'Executive Dashboard'!$A$14:$A$25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Dashboard'!$D$14:$D$25</c:f>
              <c:numCache>
                <c:formatCode>0.0;[Red]\(0.0\);\-</c:formatCode>
                <c:ptCount val="12"/>
                <c:pt idx="0">
                  <c:v>16.282</c:v>
                </c:pt>
                <c:pt idx="1">
                  <c:v>17.155000000000001</c:v>
                </c:pt>
                <c:pt idx="2">
                  <c:v>16.131</c:v>
                </c:pt>
                <c:pt idx="3">
                  <c:v>17.882999999999999</c:v>
                </c:pt>
                <c:pt idx="4">
                  <c:v>17.646999999999998</c:v>
                </c:pt>
                <c:pt idx="5">
                  <c:v>18.291</c:v>
                </c:pt>
                <c:pt idx="6">
                  <c:v>19.152000000000001</c:v>
                </c:pt>
                <c:pt idx="7">
                  <c:v>18.489999999999998</c:v>
                </c:pt>
                <c:pt idx="8">
                  <c:v>19.225000000000001</c:v>
                </c:pt>
                <c:pt idx="9">
                  <c:v>20.254999999999999</c:v>
                </c:pt>
                <c:pt idx="10">
                  <c:v>18.555</c:v>
                </c:pt>
                <c:pt idx="11">
                  <c:v>20.074000000000002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7F-B643-9597-CCEE68CF3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numFmt formatCode="0.0;[Red]\(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13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showGridLines="0" tabSelected="1" zoomScale="70" zoomScaleNormal="70" workbookViewId="0">
      <selection activeCell="M23" sqref="M23"/>
    </sheetView>
  </sheetViews>
  <sheetFormatPr baseColWidth="10" defaultColWidth="8.83203125" defaultRowHeight="14"/>
  <cols>
    <col min="1" max="1" width="21.83203125" customWidth="1"/>
    <col min="2" max="3" width="16" customWidth="1"/>
    <col min="4" max="4" width="22.83203125" customWidth="1"/>
    <col min="5" max="6" width="16" customWidth="1"/>
    <col min="7" max="7" width="24" customWidth="1"/>
    <col min="8" max="9" width="16" customWidth="1"/>
    <col min="10" max="10" width="37" customWidth="1"/>
    <col min="11" max="13" width="16" customWidth="1"/>
  </cols>
  <sheetData>
    <row r="1" spans="1:13" ht="45.2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30.75" customHeight="1">
      <c r="A4" s="12" t="s">
        <v>2</v>
      </c>
      <c r="D4" s="12" t="s">
        <v>3</v>
      </c>
      <c r="G4" s="12" t="s">
        <v>4</v>
      </c>
      <c r="J4" s="12" t="s">
        <v>5</v>
      </c>
    </row>
    <row r="5" spans="1:13" ht="50.75" customHeight="1">
      <c r="A5" s="13">
        <f>'Monthly Performance'!C17/1000000</f>
        <v>217.24</v>
      </c>
      <c r="D5" s="14">
        <f>'Monthly Performance'!E17</f>
        <v>3.6787142397554378E-4</v>
      </c>
      <c r="G5" s="13">
        <f>'Monthly Performance'!J17/1000000</f>
        <v>51.386000000000003</v>
      </c>
      <c r="J5" s="14">
        <f>'Monthly Performance'!L17</f>
        <v>0.23654023200147303</v>
      </c>
    </row>
    <row r="8" spans="1:13" ht="30.75" customHeight="1">
      <c r="A8" s="12" t="s">
        <v>6</v>
      </c>
      <c r="D8" s="12" t="s">
        <v>7</v>
      </c>
      <c r="G8" s="12" t="s">
        <v>8</v>
      </c>
      <c r="J8" s="12" t="s">
        <v>9</v>
      </c>
    </row>
    <row r="9" spans="1:13" ht="50.75" customHeight="1">
      <c r="A9" s="13">
        <f>'Monthly Performance'!B17/1000000</f>
        <v>217.160113</v>
      </c>
      <c r="D9" s="13">
        <f>'Monthly Performance'!N17/1000000</f>
        <v>219.14</v>
      </c>
      <c r="G9" s="13">
        <f>'Monthly Performance'!M17/1000000</f>
        <v>51.386000000000003</v>
      </c>
      <c r="J9" s="14">
        <f>'Monthly Performance'!O17</f>
        <v>-8.6702564570594141E-3</v>
      </c>
    </row>
    <row r="13" spans="1:13" ht="34.75" customHeight="1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14</v>
      </c>
      <c r="G13" s="4" t="s">
        <v>15</v>
      </c>
      <c r="H13" s="4" t="s">
        <v>16</v>
      </c>
      <c r="I13" s="4" t="s">
        <v>17</v>
      </c>
      <c r="J13" s="4" t="s">
        <v>18</v>
      </c>
    </row>
    <row r="14" spans="1:13">
      <c r="A14" s="16" t="str">
        <f>'Monthly Performance'!A4</f>
        <v>Jan</v>
      </c>
      <c r="B14" s="15">
        <f>'Monthly Performance'!B4/1000000</f>
        <v>16.282605</v>
      </c>
      <c r="C14" s="15">
        <f>'Monthly Performance'!C4/1000000</f>
        <v>16.638999999999999</v>
      </c>
      <c r="D14" s="15">
        <f>'Monthly Performance'!N4/1000000</f>
        <v>16.282</v>
      </c>
      <c r="E14" s="15">
        <f>'Monthly Performance'!J4/1000000</f>
        <v>3.53</v>
      </c>
      <c r="G14" t="s">
        <v>19</v>
      </c>
      <c r="H14" t="s">
        <v>20</v>
      </c>
      <c r="I14" s="1">
        <f>'Monthly Performance'!E17</f>
        <v>3.6787142397554378E-4</v>
      </c>
      <c r="J14" t="s">
        <v>21</v>
      </c>
    </row>
    <row r="15" spans="1:13">
      <c r="A15" s="16" t="str">
        <f>'Monthly Performance'!A5</f>
        <v>Feb</v>
      </c>
      <c r="B15" s="15">
        <f>'Monthly Performance'!B5/1000000</f>
        <v>16.753705</v>
      </c>
      <c r="C15" s="15">
        <f>'Monthly Performance'!C5/1000000</f>
        <v>15.433</v>
      </c>
      <c r="D15" s="15">
        <f>'Monthly Performance'!N5/1000000</f>
        <v>17.155000000000001</v>
      </c>
      <c r="E15" s="15">
        <f>'Monthly Performance'!J5/1000000</f>
        <v>3.2719999999999998</v>
      </c>
      <c r="G15" t="s">
        <v>22</v>
      </c>
      <c r="H15" t="s">
        <v>12</v>
      </c>
      <c r="I15" s="2">
        <f>'Monthly Performance'!J17/1000000</f>
        <v>51.386000000000003</v>
      </c>
      <c r="J15" t="s">
        <v>23</v>
      </c>
    </row>
    <row r="16" spans="1:13">
      <c r="A16" s="16" t="str">
        <f>'Monthly Performance'!A6</f>
        <v>Mar</v>
      </c>
      <c r="B16" s="15">
        <f>'Monthly Performance'!B6/1000000</f>
        <v>16.325623</v>
      </c>
      <c r="C16" s="15">
        <f>'Monthly Performance'!C6/1000000</f>
        <v>16.667000000000002</v>
      </c>
      <c r="D16" s="15">
        <f>'Monthly Performance'!N6/1000000</f>
        <v>16.131</v>
      </c>
      <c r="E16" s="15">
        <f>'Monthly Performance'!J6/1000000</f>
        <v>4.5149999999999997</v>
      </c>
      <c r="G16" t="s">
        <v>24</v>
      </c>
      <c r="H16" t="s">
        <v>25</v>
      </c>
      <c r="I16" s="2">
        <f>'Monthly Performance'!L17</f>
        <v>0.23654023200147303</v>
      </c>
      <c r="J16" t="s">
        <v>26</v>
      </c>
    </row>
    <row r="17" spans="1:13">
      <c r="A17" s="16" t="str">
        <f>'Monthly Performance'!A7</f>
        <v>Apr</v>
      </c>
      <c r="B17" s="15">
        <f>'Monthly Performance'!B7/1000000</f>
        <v>17.415483999999999</v>
      </c>
      <c r="C17" s="15">
        <f>'Monthly Performance'!C7/1000000</f>
        <v>17.007999999999999</v>
      </c>
      <c r="D17" s="15">
        <f>'Monthly Performance'!N7/1000000</f>
        <v>17.882999999999999</v>
      </c>
      <c r="E17" s="15">
        <f>'Monthly Performance'!J7/1000000</f>
        <v>4.4249999999999998</v>
      </c>
      <c r="G17" t="s">
        <v>27</v>
      </c>
      <c r="H17" t="s">
        <v>28</v>
      </c>
      <c r="I17" s="2">
        <f>'Monthly Performance'!H17/1000000</f>
        <v>-0.247</v>
      </c>
      <c r="J17" t="s">
        <v>29</v>
      </c>
    </row>
    <row r="18" spans="1:13">
      <c r="A18" s="16" t="str">
        <f>'Monthly Performance'!A8</f>
        <v>May</v>
      </c>
      <c r="B18" s="15">
        <f>'Monthly Performance'!B8/1000000</f>
        <v>17.607496000000001</v>
      </c>
      <c r="C18" s="15">
        <f>'Monthly Performance'!C8/1000000</f>
        <v>17.957000000000001</v>
      </c>
      <c r="D18" s="15">
        <f>'Monthly Performance'!N8/1000000</f>
        <v>17.646999999999998</v>
      </c>
      <c r="E18" s="15">
        <f>'Monthly Performance'!J8/1000000</f>
        <v>4.6950000000000003</v>
      </c>
      <c r="G18" t="s">
        <v>30</v>
      </c>
      <c r="H18" t="s">
        <v>31</v>
      </c>
      <c r="I18" s="1">
        <f>'Monthly Performance'!O17</f>
        <v>-8.6702564570594141E-3</v>
      </c>
      <c r="J18" t="s">
        <v>32</v>
      </c>
    </row>
    <row r="19" spans="1:13">
      <c r="A19" s="16" t="str">
        <f>'Monthly Performance'!A9</f>
        <v>Jun</v>
      </c>
      <c r="B19" s="15">
        <f>'Monthly Performance'!B9/1000000</f>
        <v>18.631160999999999</v>
      </c>
      <c r="C19" s="15">
        <f>'Monthly Performance'!C9/1000000</f>
        <v>18.911000000000001</v>
      </c>
      <c r="D19" s="15">
        <f>'Monthly Performance'!N9/1000000</f>
        <v>18.291</v>
      </c>
      <c r="E19" s="15">
        <f>'Monthly Performance'!J9/1000000</f>
        <v>3.9849999999999999</v>
      </c>
    </row>
    <row r="20" spans="1:13">
      <c r="A20" s="16" t="str">
        <f>'Monthly Performance'!A10</f>
        <v>Jul</v>
      </c>
      <c r="B20" s="15">
        <f>'Monthly Performance'!B10/1000000</f>
        <v>18.632127000000001</v>
      </c>
      <c r="C20" s="15">
        <f>'Monthly Performance'!C10/1000000</f>
        <v>18.992000000000001</v>
      </c>
      <c r="D20" s="15">
        <f>'Monthly Performance'!N10/1000000</f>
        <v>19.152000000000001</v>
      </c>
      <c r="E20" s="15">
        <f>'Monthly Performance'!J10/1000000</f>
        <v>5.0359999999999996</v>
      </c>
    </row>
    <row r="21" spans="1:13" ht="15">
      <c r="A21" s="16" t="str">
        <f>'Monthly Performance'!A11</f>
        <v>Aug</v>
      </c>
      <c r="B21" s="15">
        <f>'Monthly Performance'!B11/1000000</f>
        <v>17.918510000000001</v>
      </c>
      <c r="C21" s="15">
        <f>'Monthly Performance'!C11/1000000</f>
        <v>16.856999999999999</v>
      </c>
      <c r="D21" s="15">
        <f>'Monthly Performance'!N11/1000000</f>
        <v>18.489999999999998</v>
      </c>
      <c r="E21" s="15">
        <f>'Monthly Performance'!J11/1000000</f>
        <v>3.758</v>
      </c>
      <c r="G21" s="12" t="s">
        <v>33</v>
      </c>
      <c r="H21" s="12"/>
      <c r="I21" s="12"/>
      <c r="J21" s="12"/>
    </row>
    <row r="22" spans="1:13" ht="38.75" customHeight="1">
      <c r="A22" s="16" t="str">
        <f>'Monthly Performance'!A12</f>
        <v>Sep</v>
      </c>
      <c r="B22" s="15">
        <f>'Monthly Performance'!B12/1000000</f>
        <v>18.974610999999999</v>
      </c>
      <c r="C22" s="15">
        <f>'Monthly Performance'!C12/1000000</f>
        <v>20.04</v>
      </c>
      <c r="D22" s="15">
        <f>'Monthly Performance'!N12/1000000</f>
        <v>19.225000000000001</v>
      </c>
      <c r="E22" s="15">
        <f>'Monthly Performance'!J12/1000000</f>
        <v>4.6470000000000002</v>
      </c>
      <c r="G22" s="19" t="str">
        <f>IF('Monthly Performance'!D17&gt;=0,"REVENUE | RM "&amp;TEXT('Monthly Performance'!D17/1000000,"0.00")&amp;"m above budget ("&amp;TEXT('Monthly Performance'!E17,"0.00%")&amp;"); broadly on plan.","REVENUE | RM "&amp;TEXT(ABS('Monthly Performance'!D17)/1000000,"0.00")&amp;"m below budget ("&amp;TEXT(ABS('Monthly Performance'!E17),"0.00%")&amp;"); review shortfall.")</f>
        <v>REVENUE | RM 0.08m above budget (0.04%); broadly on plan.</v>
      </c>
      <c r="H22" s="17"/>
      <c r="I22" s="17"/>
      <c r="J22" s="17"/>
    </row>
    <row r="23" spans="1:13" ht="38.75" customHeight="1">
      <c r="A23" s="16" t="str">
        <f>'Monthly Performance'!A13</f>
        <v>Oct</v>
      </c>
      <c r="B23" s="15">
        <f>'Monthly Performance'!B13/1000000</f>
        <v>19.648855999999999</v>
      </c>
      <c r="C23" s="15">
        <f>'Monthly Performance'!C13/1000000</f>
        <v>20.8</v>
      </c>
      <c r="D23" s="15">
        <f>'Monthly Performance'!N13/1000000</f>
        <v>20.254999999999999</v>
      </c>
      <c r="E23" s="15">
        <f>'Monthly Performance'!J13/1000000</f>
        <v>4.665</v>
      </c>
      <c r="G23" s="19" t="str">
        <f>IF('Monthly Performance'!H17&lt;0,"COST &amp; GP | Cost overrun RM "&amp;TEXT(ABS('Monthly Performance'!H17)/1000000,"0.00")&amp;"m; GP "&amp;IF('Monthly Performance'!K17&lt;0,"below","above")&amp;" budget by RM "&amp;TEXT(ABS('Monthly Performance'!K17)/1000000,"0.00")&amp;"m.","COST &amp; GP | Costs below budget by RM "&amp;TEXT('Monthly Performance'!H17/1000000,"0.00")&amp;"m; GP variance RM "&amp;TEXT('Monthly Performance'!K17/1000000,"0.00")&amp;"m.")</f>
        <v>COST &amp; GP | Cost overrun RM 0.25m; GP below budget by RM 0.17m.</v>
      </c>
      <c r="H23" s="17"/>
      <c r="I23" s="17"/>
      <c r="J23" s="17"/>
    </row>
    <row r="24" spans="1:13" ht="38.75" customHeight="1">
      <c r="A24" s="16" t="str">
        <f>'Monthly Performance'!A14</f>
        <v>Nov</v>
      </c>
      <c r="B24" s="15">
        <f>'Monthly Performance'!B14/1000000</f>
        <v>18.962586000000002</v>
      </c>
      <c r="C24" s="15">
        <f>'Monthly Performance'!C14/1000000</f>
        <v>17.582000000000001</v>
      </c>
      <c r="D24" s="15">
        <f>'Monthly Performance'!N14/1000000</f>
        <v>18.555</v>
      </c>
      <c r="E24" s="15">
        <f>'Monthly Performance'!J14/1000000</f>
        <v>3.915</v>
      </c>
      <c r="G24" s="19" t="str">
        <f>IF(ABS('Monthly Performance'!O17)&lt;0.01,"ACTION | Review high-cost projects and refresh forecast assumptions; forecast gap "&amp;TEXT(ABS('Monthly Performance'!O17),"0.0%")&amp;".","ACTION | Investigate cost drivers, validate revenue milestones and refresh forecast; gap "&amp;TEXT(ABS('Monthly Performance'!O17),"0.0%")&amp;".")</f>
        <v>ACTION | Review high-cost projects and refresh forecast assumptions; forecast gap 0.9%.</v>
      </c>
      <c r="H24" s="17"/>
      <c r="I24" s="17"/>
      <c r="J24" s="17"/>
    </row>
    <row r="25" spans="1:13">
      <c r="A25" s="16" t="str">
        <f>'Monthly Performance'!A15</f>
        <v>Dec</v>
      </c>
      <c r="B25" s="15">
        <f>'Monthly Performance'!B15/1000000</f>
        <v>20.007349000000001</v>
      </c>
      <c r="C25" s="15">
        <f>'Monthly Performance'!C15/1000000</f>
        <v>20.353999999999999</v>
      </c>
      <c r="D25" s="15">
        <f>'Monthly Performance'!N15/1000000</f>
        <v>20.074000000000002</v>
      </c>
      <c r="E25" s="15">
        <f>'Monthly Performance'!J15/1000000</f>
        <v>4.9429999999999996</v>
      </c>
    </row>
    <row r="29" spans="1:13">
      <c r="A29" s="11" t="s">
        <v>34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>
      <c r="A30" s="11" t="s">
        <v>35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15" width="16" customWidth="1"/>
  </cols>
  <sheetData>
    <row r="1" spans="1:15" ht="34" customHeight="1">
      <c r="A1" s="3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15" ht="30" customHeight="1">
      <c r="A3" s="5" t="s">
        <v>10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</row>
    <row r="4" spans="1:15">
      <c r="A4" t="str">
        <f>'Fictional Inputs'!A4</f>
        <v>Jan</v>
      </c>
      <c r="B4" s="7">
        <f>'Fictional Inputs'!B4</f>
        <v>16282605</v>
      </c>
      <c r="C4" s="7">
        <f>'Fictional Inputs'!C4</f>
        <v>16639000</v>
      </c>
      <c r="D4" s="7">
        <f t="shared" ref="D4:D15" si="0">C4-B4</f>
        <v>356395</v>
      </c>
      <c r="E4" s="1">
        <f t="shared" ref="E4:E15" si="1">IFERROR(D4/B4,0)</f>
        <v>2.1888082404504683E-2</v>
      </c>
      <c r="F4" s="7">
        <f>'Fictional Inputs'!D4</f>
        <v>12112000</v>
      </c>
      <c r="G4" s="7">
        <f>'Fictional Inputs'!E4</f>
        <v>13109000</v>
      </c>
      <c r="H4" s="7">
        <f t="shared" ref="H4:H15" si="2">F4-G4</f>
        <v>-997000</v>
      </c>
      <c r="I4" s="7">
        <f t="shared" ref="I4:I15" si="3">B4-F4</f>
        <v>4170605</v>
      </c>
      <c r="J4" s="7">
        <f t="shared" ref="J4:J15" si="4">C4-G4</f>
        <v>3530000</v>
      </c>
      <c r="K4" s="7">
        <f t="shared" ref="K4:K15" si="5">J4-I4</f>
        <v>-640605</v>
      </c>
      <c r="L4" s="1">
        <f t="shared" ref="L4:L15" si="6">IFERROR(J4/C4,0)</f>
        <v>0.21215217260652683</v>
      </c>
      <c r="M4" s="7">
        <f t="shared" ref="M4:M15" si="7">J4</f>
        <v>3530000</v>
      </c>
      <c r="N4" s="7">
        <f>'Fictional Inputs'!F4</f>
        <v>16282000</v>
      </c>
      <c r="O4" s="1">
        <f t="shared" ref="O4:O15" si="8">IFERROR((C4-N4)/N4,0)</f>
        <v>2.1926053310404127E-2</v>
      </c>
    </row>
    <row r="5" spans="1:15">
      <c r="A5" t="str">
        <f>'Fictional Inputs'!A5</f>
        <v>Feb</v>
      </c>
      <c r="B5" s="7">
        <f>'Fictional Inputs'!B5</f>
        <v>16753705</v>
      </c>
      <c r="C5" s="7">
        <f>'Fictional Inputs'!C5</f>
        <v>15433000</v>
      </c>
      <c r="D5" s="7">
        <f t="shared" si="0"/>
        <v>-1320705</v>
      </c>
      <c r="E5" s="1">
        <f t="shared" si="1"/>
        <v>-7.883062283835128E-2</v>
      </c>
      <c r="F5" s="7">
        <f>'Fictional Inputs'!D5</f>
        <v>12453000</v>
      </c>
      <c r="G5" s="7">
        <f>'Fictional Inputs'!E5</f>
        <v>12161000</v>
      </c>
      <c r="H5" s="7">
        <f t="shared" si="2"/>
        <v>292000</v>
      </c>
      <c r="I5" s="7">
        <f t="shared" si="3"/>
        <v>4300705</v>
      </c>
      <c r="J5" s="7">
        <f t="shared" si="4"/>
        <v>3272000</v>
      </c>
      <c r="K5" s="7">
        <f t="shared" si="5"/>
        <v>-1028705</v>
      </c>
      <c r="L5" s="1">
        <f t="shared" si="6"/>
        <v>0.2120132184280438</v>
      </c>
      <c r="M5" s="7">
        <f t="shared" si="7"/>
        <v>3272000</v>
      </c>
      <c r="N5" s="7">
        <f>'Fictional Inputs'!F5</f>
        <v>17155000</v>
      </c>
      <c r="O5" s="1">
        <f t="shared" si="8"/>
        <v>-0.10037889828038472</v>
      </c>
    </row>
    <row r="6" spans="1:15">
      <c r="A6" t="str">
        <f>'Fictional Inputs'!A6</f>
        <v>Mar</v>
      </c>
      <c r="B6" s="7">
        <f>'Fictional Inputs'!B6</f>
        <v>16325623</v>
      </c>
      <c r="C6" s="7">
        <f>'Fictional Inputs'!C6</f>
        <v>16667000</v>
      </c>
      <c r="D6" s="7">
        <f t="shared" si="0"/>
        <v>341377</v>
      </c>
      <c r="E6" s="1">
        <f t="shared" si="1"/>
        <v>2.0910503691038314E-2</v>
      </c>
      <c r="F6" s="7">
        <f>'Fictional Inputs'!D6</f>
        <v>12503000</v>
      </c>
      <c r="G6" s="7">
        <f>'Fictional Inputs'!E6</f>
        <v>12152000</v>
      </c>
      <c r="H6" s="7">
        <f t="shared" si="2"/>
        <v>351000</v>
      </c>
      <c r="I6" s="7">
        <f t="shared" si="3"/>
        <v>3822623</v>
      </c>
      <c r="J6" s="7">
        <f t="shared" si="4"/>
        <v>4515000</v>
      </c>
      <c r="K6" s="7">
        <f t="shared" si="5"/>
        <v>692377</v>
      </c>
      <c r="L6" s="1">
        <f t="shared" si="6"/>
        <v>0.27089458210835782</v>
      </c>
      <c r="M6" s="7">
        <f t="shared" si="7"/>
        <v>4515000</v>
      </c>
      <c r="N6" s="7">
        <f>'Fictional Inputs'!F6</f>
        <v>16131000</v>
      </c>
      <c r="O6" s="1">
        <f t="shared" si="8"/>
        <v>3.3227946190564753E-2</v>
      </c>
    </row>
    <row r="7" spans="1:15">
      <c r="A7" t="str">
        <f>'Fictional Inputs'!A7</f>
        <v>Apr</v>
      </c>
      <c r="B7" s="7">
        <f>'Fictional Inputs'!B7</f>
        <v>17415484</v>
      </c>
      <c r="C7" s="7">
        <f>'Fictional Inputs'!C7</f>
        <v>17008000</v>
      </c>
      <c r="D7" s="7">
        <f t="shared" si="0"/>
        <v>-407484</v>
      </c>
      <c r="E7" s="1">
        <f t="shared" si="1"/>
        <v>-2.339779933764689E-2</v>
      </c>
      <c r="F7" s="7">
        <f>'Fictional Inputs'!D7</f>
        <v>12924000</v>
      </c>
      <c r="G7" s="7">
        <f>'Fictional Inputs'!E7</f>
        <v>12583000</v>
      </c>
      <c r="H7" s="7">
        <f t="shared" si="2"/>
        <v>341000</v>
      </c>
      <c r="I7" s="7">
        <f t="shared" si="3"/>
        <v>4491484</v>
      </c>
      <c r="J7" s="7">
        <f t="shared" si="4"/>
        <v>4425000</v>
      </c>
      <c r="K7" s="7">
        <f t="shared" si="5"/>
        <v>-66484</v>
      </c>
      <c r="L7" s="1">
        <f t="shared" si="6"/>
        <v>0.26017168391345247</v>
      </c>
      <c r="M7" s="7">
        <f t="shared" si="7"/>
        <v>4425000</v>
      </c>
      <c r="N7" s="7">
        <f>'Fictional Inputs'!F7</f>
        <v>17883000</v>
      </c>
      <c r="O7" s="1">
        <f t="shared" si="8"/>
        <v>-4.8929150589945757E-2</v>
      </c>
    </row>
    <row r="8" spans="1:15">
      <c r="A8" t="str">
        <f>'Fictional Inputs'!A8</f>
        <v>May</v>
      </c>
      <c r="B8" s="7">
        <f>'Fictional Inputs'!B8</f>
        <v>17607496</v>
      </c>
      <c r="C8" s="7">
        <f>'Fictional Inputs'!C8</f>
        <v>17957000</v>
      </c>
      <c r="D8" s="7">
        <f t="shared" si="0"/>
        <v>349504</v>
      </c>
      <c r="E8" s="1">
        <f t="shared" si="1"/>
        <v>1.9849727638728415E-2</v>
      </c>
      <c r="F8" s="7">
        <f>'Fictional Inputs'!D8</f>
        <v>13606000</v>
      </c>
      <c r="G8" s="7">
        <f>'Fictional Inputs'!E8</f>
        <v>13262000</v>
      </c>
      <c r="H8" s="7">
        <f t="shared" si="2"/>
        <v>344000</v>
      </c>
      <c r="I8" s="7">
        <f t="shared" si="3"/>
        <v>4001496</v>
      </c>
      <c r="J8" s="7">
        <f t="shared" si="4"/>
        <v>4695000</v>
      </c>
      <c r="K8" s="7">
        <f t="shared" si="5"/>
        <v>693504</v>
      </c>
      <c r="L8" s="1">
        <f t="shared" si="6"/>
        <v>0.26145792727070222</v>
      </c>
      <c r="M8" s="7">
        <f t="shared" si="7"/>
        <v>4695000</v>
      </c>
      <c r="N8" s="7">
        <f>'Fictional Inputs'!F8</f>
        <v>17647000</v>
      </c>
      <c r="O8" s="1">
        <f t="shared" si="8"/>
        <v>1.7566725222417409E-2</v>
      </c>
    </row>
    <row r="9" spans="1:15">
      <c r="A9" t="str">
        <f>'Fictional Inputs'!A9</f>
        <v>Jun</v>
      </c>
      <c r="B9" s="7">
        <f>'Fictional Inputs'!B9</f>
        <v>18631161</v>
      </c>
      <c r="C9" s="7">
        <f>'Fictional Inputs'!C9</f>
        <v>18911000</v>
      </c>
      <c r="D9" s="7">
        <f t="shared" si="0"/>
        <v>279839</v>
      </c>
      <c r="E9" s="1">
        <f t="shared" si="1"/>
        <v>1.501994427507765E-2</v>
      </c>
      <c r="F9" s="7">
        <f>'Fictional Inputs'!D9</f>
        <v>14311000</v>
      </c>
      <c r="G9" s="7">
        <f>'Fictional Inputs'!E9</f>
        <v>14926000</v>
      </c>
      <c r="H9" s="7">
        <f t="shared" si="2"/>
        <v>-615000</v>
      </c>
      <c r="I9" s="7">
        <f t="shared" si="3"/>
        <v>4320161</v>
      </c>
      <c r="J9" s="7">
        <f t="shared" si="4"/>
        <v>3985000</v>
      </c>
      <c r="K9" s="7">
        <f t="shared" si="5"/>
        <v>-335161</v>
      </c>
      <c r="L9" s="1">
        <f t="shared" si="6"/>
        <v>0.21072391729681139</v>
      </c>
      <c r="M9" s="7">
        <f t="shared" si="7"/>
        <v>3985000</v>
      </c>
      <c r="N9" s="7">
        <f>'Fictional Inputs'!F9</f>
        <v>18291000</v>
      </c>
      <c r="O9" s="1">
        <f t="shared" si="8"/>
        <v>3.3896451806899569E-2</v>
      </c>
    </row>
    <row r="10" spans="1:15">
      <c r="A10" t="str">
        <f>'Fictional Inputs'!A10</f>
        <v>Jul</v>
      </c>
      <c r="B10" s="7">
        <f>'Fictional Inputs'!B10</f>
        <v>18632127</v>
      </c>
      <c r="C10" s="7">
        <f>'Fictional Inputs'!C10</f>
        <v>18992000</v>
      </c>
      <c r="D10" s="7">
        <f t="shared" si="0"/>
        <v>359873</v>
      </c>
      <c r="E10" s="1">
        <f t="shared" si="1"/>
        <v>1.9314649368802606E-2</v>
      </c>
      <c r="F10" s="7">
        <f>'Fictional Inputs'!D10</f>
        <v>14563000</v>
      </c>
      <c r="G10" s="7">
        <f>'Fictional Inputs'!E10</f>
        <v>13956000</v>
      </c>
      <c r="H10" s="7">
        <f t="shared" si="2"/>
        <v>607000</v>
      </c>
      <c r="I10" s="7">
        <f t="shared" si="3"/>
        <v>4069127</v>
      </c>
      <c r="J10" s="7">
        <f t="shared" si="4"/>
        <v>5036000</v>
      </c>
      <c r="K10" s="7">
        <f t="shared" si="5"/>
        <v>966873</v>
      </c>
      <c r="L10" s="1">
        <f t="shared" si="6"/>
        <v>0.26516427969671441</v>
      </c>
      <c r="M10" s="7">
        <f t="shared" si="7"/>
        <v>5036000</v>
      </c>
      <c r="N10" s="7">
        <f>'Fictional Inputs'!F10</f>
        <v>19152000</v>
      </c>
      <c r="O10" s="1">
        <f t="shared" si="8"/>
        <v>-8.3542188805346695E-3</v>
      </c>
    </row>
    <row r="11" spans="1:15">
      <c r="A11" t="str">
        <f>'Fictional Inputs'!A11</f>
        <v>Aug</v>
      </c>
      <c r="B11" s="7">
        <f>'Fictional Inputs'!B11</f>
        <v>17918510</v>
      </c>
      <c r="C11" s="7">
        <f>'Fictional Inputs'!C11</f>
        <v>16857000</v>
      </c>
      <c r="D11" s="7">
        <f t="shared" si="0"/>
        <v>-1061510</v>
      </c>
      <c r="E11" s="1">
        <f t="shared" si="1"/>
        <v>-5.9240974835519246E-2</v>
      </c>
      <c r="F11" s="7">
        <f>'Fictional Inputs'!D11</f>
        <v>13648000</v>
      </c>
      <c r="G11" s="7">
        <f>'Fictional Inputs'!E11</f>
        <v>13099000</v>
      </c>
      <c r="H11" s="7">
        <f t="shared" si="2"/>
        <v>549000</v>
      </c>
      <c r="I11" s="7">
        <f t="shared" si="3"/>
        <v>4270510</v>
      </c>
      <c r="J11" s="7">
        <f t="shared" si="4"/>
        <v>3758000</v>
      </c>
      <c r="K11" s="7">
        <f t="shared" si="5"/>
        <v>-512510</v>
      </c>
      <c r="L11" s="1">
        <f t="shared" si="6"/>
        <v>0.22293409266180222</v>
      </c>
      <c r="M11" s="7">
        <f t="shared" si="7"/>
        <v>3758000</v>
      </c>
      <c r="N11" s="7">
        <f>'Fictional Inputs'!F11</f>
        <v>18490000</v>
      </c>
      <c r="O11" s="1">
        <f t="shared" si="8"/>
        <v>-8.831800973499189E-2</v>
      </c>
    </row>
    <row r="12" spans="1:15">
      <c r="A12" t="str">
        <f>'Fictional Inputs'!A12</f>
        <v>Sep</v>
      </c>
      <c r="B12" s="7">
        <f>'Fictional Inputs'!B12</f>
        <v>18974611</v>
      </c>
      <c r="C12" s="7">
        <f>'Fictional Inputs'!C12</f>
        <v>20040000</v>
      </c>
      <c r="D12" s="7">
        <f t="shared" si="0"/>
        <v>1065389</v>
      </c>
      <c r="E12" s="1">
        <f t="shared" si="1"/>
        <v>5.6148133945934382E-2</v>
      </c>
      <c r="F12" s="7">
        <f>'Fictional Inputs'!D12</f>
        <v>13983000</v>
      </c>
      <c r="G12" s="7">
        <f>'Fictional Inputs'!E12</f>
        <v>15393000</v>
      </c>
      <c r="H12" s="7">
        <f t="shared" si="2"/>
        <v>-1410000</v>
      </c>
      <c r="I12" s="7">
        <f t="shared" si="3"/>
        <v>4991611</v>
      </c>
      <c r="J12" s="7">
        <f t="shared" si="4"/>
        <v>4647000</v>
      </c>
      <c r="K12" s="7">
        <f t="shared" si="5"/>
        <v>-344611</v>
      </c>
      <c r="L12" s="1">
        <f t="shared" si="6"/>
        <v>0.23188622754491017</v>
      </c>
      <c r="M12" s="7">
        <f t="shared" si="7"/>
        <v>4647000</v>
      </c>
      <c r="N12" s="7">
        <f>'Fictional Inputs'!F12</f>
        <v>19225000</v>
      </c>
      <c r="O12" s="1">
        <f t="shared" si="8"/>
        <v>4.2392717815344601E-2</v>
      </c>
    </row>
    <row r="13" spans="1:15">
      <c r="A13" t="str">
        <f>'Fictional Inputs'!A13</f>
        <v>Oct</v>
      </c>
      <c r="B13" s="7">
        <f>'Fictional Inputs'!B13</f>
        <v>19648856</v>
      </c>
      <c r="C13" s="7">
        <f>'Fictional Inputs'!C13</f>
        <v>20800000</v>
      </c>
      <c r="D13" s="7">
        <f t="shared" si="0"/>
        <v>1151144</v>
      </c>
      <c r="E13" s="1">
        <f t="shared" si="1"/>
        <v>5.8585802654363188E-2</v>
      </c>
      <c r="F13" s="7">
        <f>'Fictional Inputs'!D13</f>
        <v>15309000</v>
      </c>
      <c r="G13" s="7">
        <f>'Fictional Inputs'!E13</f>
        <v>16135000</v>
      </c>
      <c r="H13" s="7">
        <f t="shared" si="2"/>
        <v>-826000</v>
      </c>
      <c r="I13" s="7">
        <f t="shared" si="3"/>
        <v>4339856</v>
      </c>
      <c r="J13" s="7">
        <f t="shared" si="4"/>
        <v>4665000</v>
      </c>
      <c r="K13" s="7">
        <f t="shared" si="5"/>
        <v>325144</v>
      </c>
      <c r="L13" s="1">
        <f t="shared" si="6"/>
        <v>0.22427884615384616</v>
      </c>
      <c r="M13" s="7">
        <f t="shared" si="7"/>
        <v>4665000</v>
      </c>
      <c r="N13" s="7">
        <f>'Fictional Inputs'!F13</f>
        <v>20255000</v>
      </c>
      <c r="O13" s="1">
        <f t="shared" si="8"/>
        <v>2.6906936558874352E-2</v>
      </c>
    </row>
    <row r="14" spans="1:15">
      <c r="A14" t="str">
        <f>'Fictional Inputs'!A14</f>
        <v>Nov</v>
      </c>
      <c r="B14" s="7">
        <f>'Fictional Inputs'!B14</f>
        <v>18962586</v>
      </c>
      <c r="C14" s="7">
        <f>'Fictional Inputs'!C14</f>
        <v>17582000</v>
      </c>
      <c r="D14" s="7">
        <f t="shared" si="0"/>
        <v>-1380586</v>
      </c>
      <c r="E14" s="1">
        <f t="shared" si="1"/>
        <v>-7.2805787143167072E-2</v>
      </c>
      <c r="F14" s="7">
        <f>'Fictional Inputs'!D14</f>
        <v>14796000</v>
      </c>
      <c r="G14" s="7">
        <f>'Fictional Inputs'!E14</f>
        <v>13667000</v>
      </c>
      <c r="H14" s="7">
        <f t="shared" si="2"/>
        <v>1129000</v>
      </c>
      <c r="I14" s="7">
        <f t="shared" si="3"/>
        <v>4166586</v>
      </c>
      <c r="J14" s="7">
        <f t="shared" si="4"/>
        <v>3915000</v>
      </c>
      <c r="K14" s="7">
        <f t="shared" si="5"/>
        <v>-251586</v>
      </c>
      <c r="L14" s="1">
        <f t="shared" si="6"/>
        <v>0.22267091343419407</v>
      </c>
      <c r="M14" s="7">
        <f t="shared" si="7"/>
        <v>3915000</v>
      </c>
      <c r="N14" s="7">
        <f>'Fictional Inputs'!F14</f>
        <v>18555000</v>
      </c>
      <c r="O14" s="1">
        <f t="shared" si="8"/>
        <v>-5.2438695769334409E-2</v>
      </c>
    </row>
    <row r="15" spans="1:15">
      <c r="A15" t="str">
        <f>'Fictional Inputs'!A15</f>
        <v>Dec</v>
      </c>
      <c r="B15" s="7">
        <f>'Fictional Inputs'!B15</f>
        <v>20007349</v>
      </c>
      <c r="C15" s="7">
        <f>'Fictional Inputs'!C15</f>
        <v>20354000</v>
      </c>
      <c r="D15" s="7">
        <f t="shared" si="0"/>
        <v>346651</v>
      </c>
      <c r="E15" s="1">
        <f t="shared" si="1"/>
        <v>1.7326183493875175E-2</v>
      </c>
      <c r="F15" s="7">
        <f>'Fictional Inputs'!D15</f>
        <v>15399000</v>
      </c>
      <c r="G15" s="7">
        <f>'Fictional Inputs'!E15</f>
        <v>15411000</v>
      </c>
      <c r="H15" s="7">
        <f t="shared" si="2"/>
        <v>-12000</v>
      </c>
      <c r="I15" s="7">
        <f t="shared" si="3"/>
        <v>4608349</v>
      </c>
      <c r="J15" s="7">
        <f t="shared" si="4"/>
        <v>4943000</v>
      </c>
      <c r="K15" s="7">
        <f t="shared" si="5"/>
        <v>334651</v>
      </c>
      <c r="L15" s="1">
        <f t="shared" si="6"/>
        <v>0.24285152795519308</v>
      </c>
      <c r="M15" s="7">
        <f t="shared" si="7"/>
        <v>4943000</v>
      </c>
      <c r="N15" s="7">
        <f>'Fictional Inputs'!F15</f>
        <v>20074000</v>
      </c>
      <c r="O15" s="1">
        <f t="shared" si="8"/>
        <v>1.3948390953472153E-2</v>
      </c>
    </row>
    <row r="16" spans="1:15">
      <c r="B16" s="7"/>
      <c r="C16" s="7"/>
      <c r="D16" s="7"/>
      <c r="E16" s="1"/>
      <c r="F16" s="7"/>
      <c r="G16" s="7"/>
      <c r="H16" s="7"/>
      <c r="I16" s="7"/>
      <c r="J16" s="7"/>
      <c r="K16" s="7"/>
      <c r="L16" s="1"/>
      <c r="M16" s="7"/>
      <c r="N16" s="7"/>
      <c r="O16" s="1"/>
    </row>
    <row r="17" spans="1:15" ht="26" customHeight="1">
      <c r="A17" s="8" t="s">
        <v>51</v>
      </c>
      <c r="B17" s="9">
        <f>SUM(B4:B15)</f>
        <v>217160113</v>
      </c>
      <c r="C17" s="9">
        <f>SUM(C4:C15)</f>
        <v>217240000</v>
      </c>
      <c r="D17" s="9">
        <f>SUM(D4:D15)</f>
        <v>79887</v>
      </c>
      <c r="E17" s="10">
        <f>IFERROR(D17/B17,0)</f>
        <v>3.6787142397554378E-4</v>
      </c>
      <c r="F17" s="9">
        <f t="shared" ref="F17:K17" si="9">SUM(F4:F15)</f>
        <v>165607000</v>
      </c>
      <c r="G17" s="9">
        <f t="shared" si="9"/>
        <v>165854000</v>
      </c>
      <c r="H17" s="9">
        <f t="shared" si="9"/>
        <v>-247000</v>
      </c>
      <c r="I17" s="9">
        <f t="shared" si="9"/>
        <v>51553113</v>
      </c>
      <c r="J17" s="9">
        <f t="shared" si="9"/>
        <v>51386000</v>
      </c>
      <c r="K17" s="9">
        <f t="shared" si="9"/>
        <v>-167113</v>
      </c>
      <c r="L17" s="10">
        <f>IFERROR(J17/C17,0)</f>
        <v>0.23654023200147303</v>
      </c>
      <c r="M17" s="9">
        <f>SUM(M4:M15)</f>
        <v>51386000</v>
      </c>
      <c r="N17" s="9">
        <f>SUM(N4:N15)</f>
        <v>219140000</v>
      </c>
      <c r="O17" s="10">
        <f>IFERROR((C17-N17)/N17,0)</f>
        <v>-8.6702564570594141E-3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23" customWidth="1"/>
    <col min="2" max="7" width="22" customWidth="1"/>
  </cols>
  <sheetData>
    <row r="1" spans="1:7" ht="34" customHeight="1">
      <c r="A1" s="3" t="s">
        <v>52</v>
      </c>
      <c r="B1" s="3"/>
      <c r="C1" s="3"/>
      <c r="D1" s="3"/>
      <c r="E1" s="3"/>
      <c r="F1" s="3"/>
      <c r="G1" s="3"/>
    </row>
    <row r="3" spans="1:7" ht="30" customHeight="1">
      <c r="A3" s="5" t="s">
        <v>10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>
      <c r="A4" t="s">
        <v>59</v>
      </c>
      <c r="B4" s="6">
        <v>16282605</v>
      </c>
      <c r="C4" s="6">
        <v>16639000</v>
      </c>
      <c r="D4" s="6">
        <v>12112000</v>
      </c>
      <c r="E4" s="6">
        <v>13109000</v>
      </c>
      <c r="F4" s="6">
        <v>16282000</v>
      </c>
      <c r="G4" s="6">
        <v>12537000</v>
      </c>
    </row>
    <row r="5" spans="1:7">
      <c r="A5" t="s">
        <v>60</v>
      </c>
      <c r="B5" s="6">
        <v>16753705</v>
      </c>
      <c r="C5" s="6">
        <v>15433000</v>
      </c>
      <c r="D5" s="6">
        <v>12453000</v>
      </c>
      <c r="E5" s="6">
        <v>12161000</v>
      </c>
      <c r="F5" s="6">
        <v>17155000</v>
      </c>
      <c r="G5" s="6">
        <v>13209000</v>
      </c>
    </row>
    <row r="6" spans="1:7">
      <c r="A6" t="s">
        <v>61</v>
      </c>
      <c r="B6" s="6">
        <v>16325623</v>
      </c>
      <c r="C6" s="6">
        <v>16667000</v>
      </c>
      <c r="D6" s="6">
        <v>12503000</v>
      </c>
      <c r="E6" s="6">
        <v>12152000</v>
      </c>
      <c r="F6" s="6">
        <v>16131000</v>
      </c>
      <c r="G6" s="6">
        <v>12421000</v>
      </c>
    </row>
    <row r="7" spans="1:7">
      <c r="A7" t="s">
        <v>62</v>
      </c>
      <c r="B7" s="6">
        <v>17415484</v>
      </c>
      <c r="C7" s="6">
        <v>17008000</v>
      </c>
      <c r="D7" s="6">
        <v>12924000</v>
      </c>
      <c r="E7" s="6">
        <v>12583000</v>
      </c>
      <c r="F7" s="6">
        <v>17883000</v>
      </c>
      <c r="G7" s="6">
        <v>13770000</v>
      </c>
    </row>
    <row r="8" spans="1:7">
      <c r="A8" t="s">
        <v>63</v>
      </c>
      <c r="B8" s="6">
        <v>17607496</v>
      </c>
      <c r="C8" s="6">
        <v>17957000</v>
      </c>
      <c r="D8" s="6">
        <v>13606000</v>
      </c>
      <c r="E8" s="6">
        <v>13262000</v>
      </c>
      <c r="F8" s="6">
        <v>17647000</v>
      </c>
      <c r="G8" s="6">
        <v>13588000</v>
      </c>
    </row>
    <row r="9" spans="1:7">
      <c r="A9" t="s">
        <v>64</v>
      </c>
      <c r="B9" s="6">
        <v>18631161</v>
      </c>
      <c r="C9" s="6">
        <v>18911000</v>
      </c>
      <c r="D9" s="6">
        <v>14311000</v>
      </c>
      <c r="E9" s="6">
        <v>14926000</v>
      </c>
      <c r="F9" s="6">
        <v>18291000</v>
      </c>
      <c r="G9" s="6">
        <v>14084000</v>
      </c>
    </row>
    <row r="10" spans="1:7">
      <c r="A10" t="s">
        <v>65</v>
      </c>
      <c r="B10" s="6">
        <v>18632127</v>
      </c>
      <c r="C10" s="6">
        <v>18992000</v>
      </c>
      <c r="D10" s="6">
        <v>14563000</v>
      </c>
      <c r="E10" s="6">
        <v>13956000</v>
      </c>
      <c r="F10" s="6">
        <v>19152000</v>
      </c>
      <c r="G10" s="6">
        <v>14747000</v>
      </c>
    </row>
    <row r="11" spans="1:7">
      <c r="A11" t="s">
        <v>66</v>
      </c>
      <c r="B11" s="6">
        <v>17918510</v>
      </c>
      <c r="C11" s="6">
        <v>16857000</v>
      </c>
      <c r="D11" s="6">
        <v>13648000</v>
      </c>
      <c r="E11" s="6">
        <v>13099000</v>
      </c>
      <c r="F11" s="6">
        <v>18490000</v>
      </c>
      <c r="G11" s="6">
        <v>14237000</v>
      </c>
    </row>
    <row r="12" spans="1:7">
      <c r="A12" t="s">
        <v>67</v>
      </c>
      <c r="B12" s="6">
        <v>18974611</v>
      </c>
      <c r="C12" s="6">
        <v>20040000</v>
      </c>
      <c r="D12" s="6">
        <v>13983000</v>
      </c>
      <c r="E12" s="6">
        <v>15393000</v>
      </c>
      <c r="F12" s="6">
        <v>19225000</v>
      </c>
      <c r="G12" s="6">
        <v>14803000</v>
      </c>
    </row>
    <row r="13" spans="1:7">
      <c r="A13" t="s">
        <v>68</v>
      </c>
      <c r="B13" s="6">
        <v>19648856</v>
      </c>
      <c r="C13" s="6">
        <v>20800000</v>
      </c>
      <c r="D13" s="6">
        <v>15309000</v>
      </c>
      <c r="E13" s="6">
        <v>16135000</v>
      </c>
      <c r="F13" s="6">
        <v>20255000</v>
      </c>
      <c r="G13" s="6">
        <v>15596000</v>
      </c>
    </row>
    <row r="14" spans="1:7">
      <c r="A14" t="s">
        <v>69</v>
      </c>
      <c r="B14" s="6">
        <v>18962586</v>
      </c>
      <c r="C14" s="6">
        <v>17582000</v>
      </c>
      <c r="D14" s="6">
        <v>14796000</v>
      </c>
      <c r="E14" s="6">
        <v>13667000</v>
      </c>
      <c r="F14" s="6">
        <v>18555000</v>
      </c>
      <c r="G14" s="6">
        <v>14287000</v>
      </c>
    </row>
    <row r="15" spans="1:7">
      <c r="A15" t="s">
        <v>70</v>
      </c>
      <c r="B15" s="6">
        <v>20007349</v>
      </c>
      <c r="C15" s="6">
        <v>20354000</v>
      </c>
      <c r="D15" s="6">
        <v>15399000</v>
      </c>
      <c r="E15" s="6">
        <v>15411000</v>
      </c>
      <c r="F15" s="6">
        <v>20074000</v>
      </c>
      <c r="G15" s="6">
        <v>15457000</v>
      </c>
    </row>
    <row r="17" spans="1:2">
      <c r="A17" t="s">
        <v>71</v>
      </c>
      <c r="B17" t="s">
        <v>72</v>
      </c>
    </row>
    <row r="18" spans="1:2">
      <c r="A18" t="s">
        <v>73</v>
      </c>
      <c r="B18" t="s">
        <v>74</v>
      </c>
    </row>
    <row r="19" spans="1:2">
      <c r="A19" t="s">
        <v>75</v>
      </c>
      <c r="B19" t="s">
        <v>76</v>
      </c>
    </row>
    <row r="20" spans="1:2">
      <c r="A20" t="s">
        <v>77</v>
      </c>
      <c r="B20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baseColWidth="10" defaultColWidth="8.83203125" defaultRowHeight="14"/>
  <cols>
    <col min="1" max="1" width="26" customWidth="1"/>
    <col min="2" max="2" width="90" customWidth="1"/>
  </cols>
  <sheetData>
    <row r="1" spans="1:2" ht="45.25" customHeight="1">
      <c r="A1" s="3" t="s">
        <v>79</v>
      </c>
      <c r="B1" s="3"/>
    </row>
    <row r="3" spans="1:2" ht="33.25" customHeight="1">
      <c r="A3" s="5" t="s">
        <v>80</v>
      </c>
      <c r="B3" s="5" t="s">
        <v>81</v>
      </c>
    </row>
    <row r="4" spans="1:2" ht="33.25" customHeight="1">
      <c r="A4" s="18" t="s">
        <v>82</v>
      </c>
      <c r="B4" t="s">
        <v>83</v>
      </c>
    </row>
    <row r="5" spans="1:2" ht="33.25" customHeight="1">
      <c r="A5" s="18" t="s">
        <v>84</v>
      </c>
      <c r="B5" t="s">
        <v>85</v>
      </c>
    </row>
    <row r="6" spans="1:2" ht="33.25" customHeight="1">
      <c r="A6" s="18" t="s">
        <v>86</v>
      </c>
      <c r="B6" t="s">
        <v>87</v>
      </c>
    </row>
    <row r="7" spans="1:2" ht="33.25" customHeight="1">
      <c r="A7" s="18" t="s">
        <v>88</v>
      </c>
      <c r="B7" t="s">
        <v>89</v>
      </c>
    </row>
    <row r="8" spans="1:2" ht="33.25" customHeight="1">
      <c r="A8" s="18" t="s">
        <v>90</v>
      </c>
      <c r="B8" t="s">
        <v>91</v>
      </c>
    </row>
    <row r="9" spans="1:2" ht="33.25" customHeight="1">
      <c r="A9" s="18" t="s">
        <v>92</v>
      </c>
      <c r="B9" t="s">
        <v>93</v>
      </c>
    </row>
    <row r="10" spans="1:2" ht="33.25" customHeight="1">
      <c r="A10" s="18" t="s">
        <v>22</v>
      </c>
      <c r="B10" t="s">
        <v>94</v>
      </c>
    </row>
    <row r="11" spans="1:2" ht="33.25" customHeight="1">
      <c r="A11" s="18" t="s">
        <v>95</v>
      </c>
      <c r="B11" t="s">
        <v>96</v>
      </c>
    </row>
    <row r="12" spans="1:2" ht="33.25" customHeight="1">
      <c r="A12" s="18" t="s">
        <v>75</v>
      </c>
      <c r="B12" t="s">
        <v>97</v>
      </c>
    </row>
    <row r="13" spans="1:2" ht="33.25" customHeight="1">
      <c r="A13" s="18" t="s">
        <v>98</v>
      </c>
      <c r="B13" t="s">
        <v>99</v>
      </c>
    </row>
    <row r="14" spans="1:2" ht="33.25" customHeight="1">
      <c r="A14" s="18" t="s">
        <v>100</v>
      </c>
      <c r="B14" t="s">
        <v>101</v>
      </c>
    </row>
    <row r="15" spans="1:2" ht="33.25" customHeight="1">
      <c r="A15" s="18" t="s">
        <v>102</v>
      </c>
      <c r="B15" t="s">
        <v>103</v>
      </c>
    </row>
    <row r="16" spans="1:2" ht="33.25" customHeight="1">
      <c r="A16" s="18" t="s">
        <v>104</v>
      </c>
      <c r="B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Monthly Performance</vt:lpstr>
      <vt:lpstr>Fictional Inputs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Nurul Nadiah Md Nor</cp:lastModifiedBy>
  <dcterms:modified xsi:type="dcterms:W3CDTF">2026-10-27T13:51:39Z</dcterms:modified>
</cp:coreProperties>
</file>