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5956602f2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79f9660d23041cb"/>
    <x:sheet xmlns:r="http://schemas.openxmlformats.org/officeDocument/2006/relationships" name="Monthly Performance" sheetId="2" r:id="R4344a1a8bd7545b6"/>
    <x:sheet xmlns:r="http://schemas.openxmlformats.org/officeDocument/2006/relationships" name="Fictional Inputs" sheetId="3" r:id="R1bc4c68ed0ed4d71"/>
    <x:sheet xmlns:r="http://schemas.openxmlformats.org/officeDocument/2006/relationships" name="Read Me" sheetId="4" r:id="R5b43e5d42431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.0;[Red](#,##0.0);-"/>
    <x:numFmt numFmtId="202" formatCode="#,##0;[Red](#,##0);-"/>
    <x:numFmt numFmtId="203" formatCode="0.0;[Red](0.0);-"/>
    <x:numFmt numFmtId="204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4243A"/>
      <x:name val="Carlito"/>
    </x:font>
    <x:font>
      <x:sz val="11"/>
      <x:color rgb="FF64748B"/>
      <x:name val="Carlito"/>
    </x:font>
    <x:font>
      <x:b/>
      <x:sz val="20"/>
      <x:color rgb="FF1424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0F766E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4" borderId="1" xfId="0" applyNumberFormat="1" applyFont="1" applyFill="1" applyBorder="1"/>
    <x:xf numFmtId="202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4" fillId="4" borderId="1" xfId="0" applyNumberFormat="1" applyFont="1" applyFill="1" applyBorder="1"/>
    <x:xf numFmtId="202" fontId="4" fillId="4" borderId="1" xfId="0" applyNumberFormat="1" applyFont="1" applyFill="1" applyBorder="1"/>
    <x:xf numFmtId="20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4" borderId="0" xfId="0" applyNumberFormat="1" applyFont="1" applyFill="1" applyBorder="1"/>
    <x:xf numFmtId="201" fontId="6" fillId="4" borderId="0" xfId="0" applyNumberFormat="1" applyFont="1" applyFill="1" applyBorder="1"/>
    <x:xf numFmtId="201" fontId="0" fillId="4" borderId="1" xfId="0" applyNumberFormat="1" applyFont="1" applyFill="1" applyBorder="1"/>
    <x:xf numFmtId="201" fontId="6" fillId="4" borderId="1" xfId="0" applyNumberFormat="1" applyFont="1" applyFill="1" applyBorder="1"/>
    <x:xf numFmtId="200" fontId="6" fillId="4" borderId="0" xfId="0" applyNumberFormat="1" applyFont="1" applyFill="1" applyBorder="1"/>
    <x:xf numFmtId="200" fontId="6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3da9429794e2e" /><Relationship Type="http://schemas.openxmlformats.org/officeDocument/2006/relationships/theme" Target="/xl/theme/theme1.xml" Id="Rde815fe685b9443c" /><Relationship Type="http://schemas.openxmlformats.org/officeDocument/2006/relationships/sharedStrings" Target="/xl/sharedStrings.xml" Id="R5cf39d364fa64fb8" /><Relationship Type="http://schemas.openxmlformats.org/officeDocument/2006/relationships/worksheet" Target="/xl/worksheets/sheet1.xml" Id="R779f9660d23041cb" /><Relationship Type="http://schemas.openxmlformats.org/officeDocument/2006/relationships/worksheet" Target="/xl/worksheets/sheet2.xml" Id="R4344a1a8bd7545b6" /><Relationship Type="http://schemas.openxmlformats.org/officeDocument/2006/relationships/worksheet" Target="/xl/worksheets/sheet3.xml" Id="R1bc4c68ed0ed4d71" /><Relationship Type="http://schemas.openxmlformats.org/officeDocument/2006/relationships/worksheet" Target="/xl/worksheets/sheet4.xml" Id="R5b43e5d4243149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127af4182446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| Budget vs Actual vs Forecast (RMm)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RMm</c:v>
          </c:tx>
          <c:marker>
            <c:symbol val="none"/>
          </c:marker>
          <c:cat>
            <c:strRef>
              <c:f>'Executive Dashboard'!$A$14:$A$25</c:f>
              <c:strCache>
                <c:ptCount val="0"/>
              </c:strCache>
            </c:strRef>
          </c:cat>
          <c:val>
            <c:numRef>
              <c:f>'Executive Dashboard'!$B$14:$B$25</c:f>
              <c:numCache>
                <c:formatCode>0.0;[Red](0.0);-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RMm</c:v>
          </c:tx>
          <c:marker>
            <c:symbol val="none"/>
          </c:marker>
          <c:cat>
            <c:strRef>
              <c:f>'Executive Dashboard'!$A$14:$A$25</c:f>
              <c:strCache>
                <c:ptCount val="0"/>
              </c:strCache>
            </c:strRef>
          </c:cat>
          <c:val>
            <c:numRef>
              <c:f>'Executive Dashboard'!$C$14:$C$25</c:f>
              <c:numCache>
                <c:formatCode>0.0;[Red](0.0);-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 RMm</c:v>
          </c:tx>
          <c:marker>
            <c:symbol val="none"/>
          </c:marker>
          <c:cat>
            <c:strRef>
              <c:f>'Executive Dashboard'!$A$14:$A$25</c:f>
              <c:strCache>
                <c:ptCount val="0"/>
              </c:strCache>
            </c:strRef>
          </c:cat>
          <c:val>
            <c:numRef>
              <c:f>'Executive Dashboard'!$D$14:$D$25</c:f>
              <c:numCache>
                <c:formatCode>0.0;[Red](0.0);-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13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127af4182446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5ca35ce10c404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37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4" customHeight="1">
      <x:c r="A1" s="7" t="str">
        <x:v>FINANCIAL PERFORMANCE | FY2026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  <x:c r="M1" s="7" t="str"/>
    </x:row>
    <x:row r="2">
      <x:c r="A2" s="34" t="str">
        <x:v>Executive management dashboard • RM million unless noted • fictional demonstration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</x:row>
    <x:row r="4" ht="23" customHeight="1">
      <x:c r="A4" s="36" t="str">
        <x:v>REVENUE ACTUAL</x:v>
      </x:c>
      <x:c r="D4" s="36" t="str">
        <x:v>REVENUE VS BUDGET</x:v>
      </x:c>
      <x:c r="G4" s="36" t="str">
        <x:v>GROSS PROFIT</x:v>
      </x:c>
      <x:c r="J4" s="36" t="str">
        <x:v>GP MARGIN</x:v>
      </x:c>
    </x:row>
    <x:row r="5" ht="38" customHeight="1">
      <x:c r="A5" s="39" t="n">
        <x:f>'Monthly Performance'!C17/1000000</x:f>
        <x:v>217.24</x:v>
      </x:c>
      <x:c r="D5" s="42" t="n">
        <x:f>'Monthly Performance'!E17</x:f>
        <x:v>0.0003678714239755438</x:v>
      </x:c>
      <x:c r="G5" s="39" t="n">
        <x:f>'Monthly Performance'!J17/1000000</x:f>
        <x:v>51.386</x:v>
      </x:c>
      <x:c r="J5" s="42" t="n">
        <x:f>'Monthly Performance'!L17</x:f>
        <x:v>0.23654023200147303</x:v>
      </x:c>
    </x:row>
    <x:row r="8" ht="23" customHeight="1">
      <x:c r="A8" s="36" t="str">
        <x:v>BUDGET REVENUE</x:v>
      </x:c>
      <x:c r="D8" s="36" t="str">
        <x:v>REVENUE FORECAST</x:v>
      </x:c>
      <x:c r="G8" s="36" t="str">
        <x:v>EBITDA PROXY</x:v>
      </x:c>
      <x:c r="J8" s="36" t="str">
        <x:v>FORECAST VARIANCE</x:v>
      </x:c>
    </x:row>
    <x:row r="9" ht="38" customHeight="1">
      <x:c r="A9" s="39" t="n">
        <x:f>'Monthly Performance'!B17/1000000</x:f>
        <x:v>217.160113</x:v>
      </x:c>
      <x:c r="D9" s="39" t="n">
        <x:f>'Monthly Performance'!N17/1000000</x:f>
        <x:v>219.14</x:v>
      </x:c>
      <x:c r="G9" s="39" t="n">
        <x:f>'Monthly Performance'!M17/1000000</x:f>
        <x:v>51.386</x:v>
      </x:c>
      <x:c r="J9" s="42" t="n">
        <x:f>'Monthly Performance'!O17</x:f>
        <x:v>-0.008670256457059414</x:v>
      </x:c>
    </x:row>
    <x:row r="13" ht="26" customHeight="1">
      <x:c r="A13" s="12" t="str">
        <x:v>Month</x:v>
      </x:c>
      <x:c r="B13" s="12" t="str">
        <x:v>Budget RMm</x:v>
      </x:c>
      <x:c r="C13" s="12" t="str">
        <x:v>Actual RMm</x:v>
      </x:c>
      <x:c r="D13" s="12" t="str">
        <x:v>Forecast RMm</x:v>
      </x:c>
      <x:c r="E13" s="12" t="str">
        <x:v>GP RMm</x:v>
      </x:c>
      <x:c r="G13" s="11" t="str">
        <x:v>Management insights</x:v>
      </x:c>
      <x:c r="H13" s="11" t="str">
        <x:v>Metric</x:v>
      </x:c>
      <x:c r="I13" s="11" t="str">
        <x:v>Value</x:v>
      </x:c>
      <x:c r="J13" s="11" t="str">
        <x:v>Interpretation</x:v>
      </x:c>
    </x:row>
    <x:row r="14">
      <x:c r="A14" s="46" t="str">
        <x:f>'Monthly Performance'!A4</x:f>
        <x:v>Jan</x:v>
      </x:c>
      <x:c r="B14" s="44" t="n">
        <x:f>'Monthly Performance'!B4/1000000</x:f>
        <x:v>16.282605</x:v>
      </x:c>
      <x:c r="C14" s="44" t="n">
        <x:f>'Monthly Performance'!C4/1000000</x:f>
        <x:v>16.639</x:v>
      </x:c>
      <x:c r="D14" s="44" t="n">
        <x:f>'Monthly Performance'!N4/1000000</x:f>
        <x:v>16.282</x:v>
      </x:c>
      <x:c r="E14" s="44" t="n">
        <x:f>'Monthly Performance'!J4/1000000</x:f>
        <x:v>3.53</x:v>
      </x:c>
      <x:c r="G14" t="str">
        <x:v>Revenue delivery</x:v>
      </x:c>
      <x:c r="H14" t="str">
        <x:v>Actual / budget</x:v>
      </x:c>
      <x:c r="I14" s="2" t="n">
        <x:f>'Monthly Performance'!E17</x:f>
        <x:v>0.0003678714239755438</x:v>
      </x:c>
      <x:c r="J14" t="str">
        <x:v>Positive indicates outperformance</x:v>
      </x:c>
    </x:row>
    <x:row r="15">
      <x:c r="A15" s="46" t="str">
        <x:f>'Monthly Performance'!A5</x:f>
        <x:v>Feb</x:v>
      </x:c>
      <x:c r="B15" s="44" t="n">
        <x:f>'Monthly Performance'!B5/1000000</x:f>
        <x:v>16.753705</x:v>
      </x:c>
      <x:c r="C15" s="44" t="n">
        <x:f>'Monthly Performance'!C5/1000000</x:f>
        <x:v>15.433</x:v>
      </x:c>
      <x:c r="D15" s="44" t="n">
        <x:f>'Monthly Performance'!N5/1000000</x:f>
        <x:v>17.155</x:v>
      </x:c>
      <x:c r="E15" s="44" t="n">
        <x:f>'Monthly Performance'!J5/1000000</x:f>
        <x:v>3.272</x:v>
      </x:c>
      <x:c r="G15" t="str">
        <x:v>Gross profit</x:v>
      </x:c>
      <x:c r="H15" t="str">
        <x:v>Actual RMm</x:v>
      </x:c>
      <x:c r="I15" s="4" t="n">
        <x:f>'Monthly Performance'!J17/1000000</x:f>
        <x:v>51.386</x:v>
      </x:c>
      <x:c r="J15" t="str">
        <x:v>Revenue less modeled operating cost</x:v>
      </x:c>
    </x:row>
    <x:row r="16">
      <x:c r="A16" s="46" t="str">
        <x:f>'Monthly Performance'!A6</x:f>
        <x:v>Mar</x:v>
      </x:c>
      <x:c r="B16" s="44" t="n">
        <x:f>'Monthly Performance'!B6/1000000</x:f>
        <x:v>16.325623</x:v>
      </x:c>
      <x:c r="C16" s="44" t="n">
        <x:f>'Monthly Performance'!C6/1000000</x:f>
        <x:v>16.667</x:v>
      </x:c>
      <x:c r="D16" s="44" t="n">
        <x:f>'Monthly Performance'!N6/1000000</x:f>
        <x:v>16.131</x:v>
      </x:c>
      <x:c r="E16" s="44" t="n">
        <x:f>'Monthly Performance'!J6/1000000</x:f>
        <x:v>4.515</x:v>
      </x:c>
      <x:c r="G16" t="str">
        <x:v>Margin quality</x:v>
      </x:c>
      <x:c r="H16" t="str">
        <x:v>GP margin</x:v>
      </x:c>
      <x:c r="I16" s="4" t="n">
        <x:f>'Monthly Performance'!L17</x:f>
        <x:v>0.23654023200147303</x:v>
      </x:c>
      <x:c r="J16" t="str">
        <x:v>Higher margin suggests stronger profitability</x:v>
      </x:c>
    </x:row>
    <x:row r="17">
      <x:c r="A17" s="46" t="str">
        <x:f>'Monthly Performance'!A7</x:f>
        <x:v>Apr</x:v>
      </x:c>
      <x:c r="B17" s="44" t="n">
        <x:f>'Monthly Performance'!B7/1000000</x:f>
        <x:v>17.415484</x:v>
      </x:c>
      <x:c r="C17" s="44" t="n">
        <x:f>'Monthly Performance'!C7/1000000</x:f>
        <x:v>17.008</x:v>
      </x:c>
      <x:c r="D17" s="44" t="n">
        <x:f>'Monthly Performance'!N7/1000000</x:f>
        <x:v>17.883</x:v>
      </x:c>
      <x:c r="E17" s="44" t="n">
        <x:f>'Monthly Performance'!J7/1000000</x:f>
        <x:v>4.425</x:v>
      </x:c>
      <x:c r="G17" t="str">
        <x:v>Cost discipline</x:v>
      </x:c>
      <x:c r="H17" t="str">
        <x:v>Cost variance RMm</x:v>
      </x:c>
      <x:c r="I17" s="4" t="n">
        <x:f>'Monthly Performance'!H17/1000000</x:f>
        <x:v>-0.247</x:v>
      </x:c>
      <x:c r="J17" t="str">
        <x:v>Positive = cost below budget</x:v>
      </x:c>
    </x:row>
    <x:row r="18">
      <x:c r="A18" s="46" t="str">
        <x:f>'Monthly Performance'!A8</x:f>
        <x:v>May</x:v>
      </x:c>
      <x:c r="B18" s="44" t="n">
        <x:f>'Monthly Performance'!B8/1000000</x:f>
        <x:v>17.607496</x:v>
      </x:c>
      <x:c r="C18" s="44" t="n">
        <x:f>'Monthly Performance'!C8/1000000</x:f>
        <x:v>17.957</x:v>
      </x:c>
      <x:c r="D18" s="44" t="n">
        <x:f>'Monthly Performance'!N8/1000000</x:f>
        <x:v>17.647</x:v>
      </x:c>
      <x:c r="E18" s="44" t="n">
        <x:f>'Monthly Performance'!J8/1000000</x:f>
        <x:v>4.695</x:v>
      </x:c>
      <x:c r="G18" t="str">
        <x:v>Forecast accuracy</x:v>
      </x:c>
      <x:c r="H18" t="str">
        <x:v>Actual vs forecast</x:v>
      </x:c>
      <x:c r="I18" s="2" t="n">
        <x:f>'Monthly Performance'!O17</x:f>
        <x:v>-0.008670256457059414</x:v>
      </x:c>
      <x:c r="J18" t="str">
        <x:v>Closer to zero = more accurate</x:v>
      </x:c>
    </x:row>
    <x:row r="19">
      <x:c r="A19" s="46" t="str">
        <x:f>'Monthly Performance'!A9</x:f>
        <x:v>Jun</x:v>
      </x:c>
      <x:c r="B19" s="44" t="n">
        <x:f>'Monthly Performance'!B9/1000000</x:f>
        <x:v>18.631161</x:v>
      </x:c>
      <x:c r="C19" s="44" t="n">
        <x:f>'Monthly Performance'!C9/1000000</x:f>
        <x:v>18.911</x:v>
      </x:c>
      <x:c r="D19" s="44" t="n">
        <x:f>'Monthly Performance'!N9/1000000</x:f>
        <x:v>18.291</x:v>
      </x:c>
      <x:c r="E19" s="44" t="n">
        <x:f>'Monthly Performance'!J9/1000000</x:f>
        <x:v>3.985</x:v>
      </x:c>
    </x:row>
    <x:row r="20">
      <x:c r="A20" s="46" t="str">
        <x:f>'Monthly Performance'!A10</x:f>
        <x:v>Jul</x:v>
      </x:c>
      <x:c r="B20" s="44" t="n">
        <x:f>'Monthly Performance'!B10/1000000</x:f>
        <x:v>18.632127</x:v>
      </x:c>
      <x:c r="C20" s="44" t="n">
        <x:f>'Monthly Performance'!C10/1000000</x:f>
        <x:v>18.992</x:v>
      </x:c>
      <x:c r="D20" s="44" t="n">
        <x:f>'Monthly Performance'!N10/1000000</x:f>
        <x:v>19.152</x:v>
      </x:c>
      <x:c r="E20" s="44" t="n">
        <x:f>'Monthly Performance'!J10/1000000</x:f>
        <x:v>5.036</x:v>
      </x:c>
    </x:row>
    <x:row r="21">
      <x:c r="A21" s="46" t="str">
        <x:f>'Monthly Performance'!A11</x:f>
        <x:v>Aug</x:v>
      </x:c>
      <x:c r="B21" s="44" t="n">
        <x:f>'Monthly Performance'!B11/1000000</x:f>
        <x:v>17.91851</x:v>
      </x:c>
      <x:c r="C21" s="44" t="n">
        <x:f>'Monthly Performance'!C11/1000000</x:f>
        <x:v>16.857</x:v>
      </x:c>
      <x:c r="D21" s="44" t="n">
        <x:f>'Monthly Performance'!N11/1000000</x:f>
        <x:v>18.49</x:v>
      </x:c>
      <x:c r="E21" s="44" t="n">
        <x:f>'Monthly Performance'!J11/1000000</x:f>
        <x:v>3.758</x:v>
      </x:c>
      <x:c r="G21" s="36" t="str">
        <x:v>MANAGEMENT COMMENTARY</x:v>
      </x:c>
      <x:c r="H21" s="36"/>
      <x:c r="I21" s="36"/>
      <x:c r="J21" s="36"/>
    </x:row>
    <x:row r="22" ht="33" customHeight="1">
      <x:c r="A22" s="46" t="str">
        <x:f>'Monthly Performance'!A12</x:f>
        <x:v>Sep</x:v>
      </x:c>
      <x:c r="B22" s="44" t="n">
        <x:f>'Monthly Performance'!B12/1000000</x:f>
        <x:v>18.974611</x:v>
      </x:c>
      <x:c r="C22" s="44" t="n">
        <x:f>'Monthly Performance'!C12/1000000</x:f>
        <x:v>20.04</x:v>
      </x:c>
      <x:c r="D22" s="44" t="n">
        <x:f>'Monthly Performance'!N12/1000000</x:f>
        <x:v>19.225</x:v>
      </x:c>
      <x:c r="E22" s="44" t="n">
        <x:f>'Monthly Performance'!J12/1000000</x:f>
        <x:v>4.647</x:v>
      </x:c>
      <x:c r="G22" s="48" t="str">
        <x:f>IF('Monthly Performance'!D17&gt;=0,"Revenue exceeded budget by RM "&amp;TEXT('Monthly Performance'!D17/1000000,"0.0")&amp;"m.","Revenue missed budget by RM "&amp;TEXT(ABS('Monthly Performance'!D17)/1000000,"0.0")&amp;"m.")</x:f>
        <x:v>Revenue exceeded budget by RM 0.1m.</x:v>
      </x:c>
      <x:c r="H22" s="48"/>
      <x:c r="I22" s="48"/>
      <x:c r="J22" s="48"/>
    </x:row>
    <x:row r="23" ht="33" customHeight="1">
      <x:c r="A23" s="46" t="str">
        <x:f>'Monthly Performance'!A13</x:f>
        <x:v>Oct</x:v>
      </x:c>
      <x:c r="B23" s="44" t="n">
        <x:f>'Monthly Performance'!B13/1000000</x:f>
        <x:v>19.648856</x:v>
      </x:c>
      <x:c r="C23" s="44" t="n">
        <x:f>'Monthly Performance'!C13/1000000</x:f>
        <x:v>20.8</x:v>
      </x:c>
      <x:c r="D23" s="44" t="n">
        <x:f>'Monthly Performance'!N13/1000000</x:f>
        <x:v>20.255</x:v>
      </x:c>
      <x:c r="E23" s="44" t="n">
        <x:f>'Monthly Performance'!J13/1000000</x:f>
        <x:v>4.665</x:v>
      </x:c>
      <x:c r="G23" s="48" t="str">
        <x:f>IF('Monthly Performance'!H17&gt;=0,"Costs finished below budget; review sustainable savings.","Costs exceeded budget; investigate drivers and corrective actions.")</x:f>
        <x:v>Costs exceeded budget; investigate drivers and corrective actions.</x:v>
      </x:c>
      <x:c r="H23" s="48"/>
      <x:c r="I23" s="48"/>
      <x:c r="J23" s="48"/>
    </x:row>
    <x:row r="24" ht="33" customHeight="1">
      <x:c r="A24" s="46" t="str">
        <x:f>'Monthly Performance'!A14</x:f>
        <x:v>Nov</x:v>
      </x:c>
      <x:c r="B24" s="44" t="n">
        <x:f>'Monthly Performance'!B14/1000000</x:f>
        <x:v>18.962586</x:v>
      </x:c>
      <x:c r="C24" s="44" t="n">
        <x:f>'Monthly Performance'!C14/1000000</x:f>
        <x:v>17.582</x:v>
      </x:c>
      <x:c r="D24" s="44" t="n">
        <x:f>'Monthly Performance'!N14/1000000</x:f>
        <x:v>18.555</x:v>
      </x:c>
      <x:c r="E24" s="44" t="n">
        <x:f>'Monthly Performance'!J14/1000000</x:f>
        <x:v>3.915</x:v>
      </x:c>
      <x:c r="G24" s="48" t="str">
        <x:v>Action: validate revenue milestones, project cost trends and forecast assumptions.</x:v>
      </x:c>
      <x:c r="H24" s="48"/>
      <x:c r="I24" s="48"/>
      <x:c r="J24" s="48"/>
    </x:row>
    <x:row r="25">
      <x:c r="A25" s="46" t="str">
        <x:f>'Monthly Performance'!A15</x:f>
        <x:v>Dec</x:v>
      </x:c>
      <x:c r="B25" s="44" t="n">
        <x:f>'Monthly Performance'!B15/1000000</x:f>
        <x:v>20.007349</x:v>
      </x:c>
      <x:c r="C25" s="44" t="n">
        <x:f>'Monthly Performance'!C15/1000000</x:f>
        <x:v>20.354</x:v>
      </x:c>
      <x:c r="D25" s="44" t="n">
        <x:f>'Monthly Performance'!N15/1000000</x:f>
        <x:v>20.074</x:v>
      </x:c>
      <x:c r="E25" s="44" t="n">
        <x:f>'Monthly Performance'!J15/1000000</x:f>
        <x:v>4.943</x:v>
      </x:c>
    </x:row>
    <x:row r="29">
      <x:c r="A29" s="34" t="str">
        <x:v>Methodology: GP = revenue − illustrative modeled costs. EBITDA proxy equals GP because no separate operating expense categories are modeled.</x:v>
      </x:c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</x:row>
    <x:row r="30">
      <x:c r="A30" s="34" t="str">
        <x:v>Portfolio disclaimer: No employer, client or confidential financial data used.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</x:row>
  </x:sheetData>
  <x:pageMargins left="0.7" right="0.7" top="0.75" bottom="0.75" header="0.3" footer="0.3"/>
  <x:drawing xmlns:r="http://schemas.openxmlformats.org/officeDocument/2006/relationships" r:id="R405ca35ce10c4040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4" customHeight="1">
      <x:c r="A1" s="7" t="str">
        <x:v>FY2026 | MONTHLY PERFORMANCE ANALYSIS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  <x:c r="M1" s="7" t="str"/>
      <x:c r="N1" s="7" t="str"/>
      <x:c r="O1" s="7" t="str"/>
    </x:row>
    <x:row r="3" ht="30" customHeight="1">
      <x:c r="A3" s="12" t="str">
        <x:v>Month</x:v>
      </x:c>
      <x:c r="B3" s="12" t="str">
        <x:v>Rev Budget</x:v>
      </x:c>
      <x:c r="C3" s="12" t="str">
        <x:v>Rev Actual</x:v>
      </x:c>
      <x:c r="D3" s="12" t="str">
        <x:v>Rev Var RM</x:v>
      </x:c>
      <x:c r="E3" s="12" t="str">
        <x:v>Rev Var %</x:v>
      </x:c>
      <x:c r="F3" s="12" t="str">
        <x:v>Cost Budget</x:v>
      </x:c>
      <x:c r="G3" s="12" t="str">
        <x:v>Cost Actual</x:v>
      </x:c>
      <x:c r="H3" s="12" t="str">
        <x:v>Cost Var RM</x:v>
      </x:c>
      <x:c r="I3" s="12" t="str">
        <x:v>GP Budget</x:v>
      </x:c>
      <x:c r="J3" s="12" t="str">
        <x:v>GP Actual</x:v>
      </x:c>
      <x:c r="K3" s="12" t="str">
        <x:v>GP Var RM</x:v>
      </x:c>
      <x:c r="L3" s="12" t="str">
        <x:v>GP Margin</x:v>
      </x:c>
      <x:c r="M3" s="12" t="str">
        <x:v>EBITDA Proxy</x:v>
      </x:c>
      <x:c r="N3" s="12" t="str">
        <x:v>Rev Forecast</x:v>
      </x:c>
      <x:c r="O3" s="12" t="str">
        <x:v>Forecast Var %</x:v>
      </x:c>
    </x:row>
    <x:row r="4">
      <x:c r="A4" t="str">
        <x:f>'Fictional Inputs'!A4</x:f>
        <x:v>Jan</x:v>
      </x:c>
      <x:c r="B4" s="20" t="n">
        <x:f>'Fictional Inputs'!B4</x:f>
        <x:v>16282605</x:v>
      </x:c>
      <x:c r="C4" s="20" t="n">
        <x:f>'Fictional Inputs'!C4</x:f>
        <x:v>16639000</x:v>
      </x:c>
      <x:c r="D4" s="20" t="n">
        <x:f>C4-B4</x:f>
        <x:v>356395</x:v>
      </x:c>
      <x:c r="E4" s="2" t="n">
        <x:f>IFERROR(D4/B4,0)</x:f>
        <x:v>0.021888082404504683</x:v>
      </x:c>
      <x:c r="F4" s="20" t="n">
        <x:f>'Fictional Inputs'!D4</x:f>
        <x:v>12112000</x:v>
      </x:c>
      <x:c r="G4" s="20" t="n">
        <x:f>'Fictional Inputs'!E4</x:f>
        <x:v>13109000</x:v>
      </x:c>
      <x:c r="H4" s="20" t="n">
        <x:f>F4-G4</x:f>
        <x:v>-997000</x:v>
      </x:c>
      <x:c r="I4" s="20" t="n">
        <x:f>B4-F4</x:f>
        <x:v>4170605</x:v>
      </x:c>
      <x:c r="J4" s="20" t="n">
        <x:f>C4-G4</x:f>
        <x:v>3530000</x:v>
      </x:c>
      <x:c r="K4" s="20" t="n">
        <x:f>J4-I4</x:f>
        <x:v>-640605</x:v>
      </x:c>
      <x:c r="L4" s="2" t="n">
        <x:f>IFERROR(J4/C4,0)</x:f>
        <x:v>0.21215217260652683</x:v>
      </x:c>
      <x:c r="M4" s="20" t="n">
        <x:f>J4</x:f>
        <x:v>3530000</x:v>
      </x:c>
      <x:c r="N4" s="20" t="n">
        <x:f>'Fictional Inputs'!F4</x:f>
        <x:v>16282000</x:v>
      </x:c>
      <x:c r="O4" s="2" t="n">
        <x:f>IFERROR((C4-N4)/N4,0)</x:f>
        <x:v>0.021926053310404127</x:v>
      </x:c>
    </x:row>
    <x:row r="5">
      <x:c r="A5" t="str">
        <x:f>'Fictional Inputs'!A5</x:f>
        <x:v>Feb</x:v>
      </x:c>
      <x:c r="B5" s="20" t="n">
        <x:f>'Fictional Inputs'!B5</x:f>
        <x:v>16753705</x:v>
      </x:c>
      <x:c r="C5" s="20" t="n">
        <x:f>'Fictional Inputs'!C5</x:f>
        <x:v>15433000</x:v>
      </x:c>
      <x:c r="D5" s="20" t="n">
        <x:f>C5-B5</x:f>
        <x:v>-1320705</x:v>
      </x:c>
      <x:c r="E5" s="2" t="n">
        <x:f>IFERROR(D5/B5,0)</x:f>
        <x:v>-0.07883062283835128</x:v>
      </x:c>
      <x:c r="F5" s="20" t="n">
        <x:f>'Fictional Inputs'!D5</x:f>
        <x:v>12453000</x:v>
      </x:c>
      <x:c r="G5" s="20" t="n">
        <x:f>'Fictional Inputs'!E5</x:f>
        <x:v>12161000</x:v>
      </x:c>
      <x:c r="H5" s="20" t="n">
        <x:f>F5-G5</x:f>
        <x:v>292000</x:v>
      </x:c>
      <x:c r="I5" s="20" t="n">
        <x:f>B5-F5</x:f>
        <x:v>4300705</x:v>
      </x:c>
      <x:c r="J5" s="20" t="n">
        <x:f>C5-G5</x:f>
        <x:v>3272000</x:v>
      </x:c>
      <x:c r="K5" s="20" t="n">
        <x:f>J5-I5</x:f>
        <x:v>-1028705</x:v>
      </x:c>
      <x:c r="L5" s="2" t="n">
        <x:f>IFERROR(J5/C5,0)</x:f>
        <x:v>0.2120132184280438</x:v>
      </x:c>
      <x:c r="M5" s="20" t="n">
        <x:f>J5</x:f>
        <x:v>3272000</x:v>
      </x:c>
      <x:c r="N5" s="20" t="n">
        <x:f>'Fictional Inputs'!F5</x:f>
        <x:v>17155000</x:v>
      </x:c>
      <x:c r="O5" s="2" t="n">
        <x:f>IFERROR((C5-N5)/N5,0)</x:f>
        <x:v>-0.10037889828038472</x:v>
      </x:c>
    </x:row>
    <x:row r="6">
      <x:c r="A6" t="str">
        <x:f>'Fictional Inputs'!A6</x:f>
        <x:v>Mar</x:v>
      </x:c>
      <x:c r="B6" s="20" t="n">
        <x:f>'Fictional Inputs'!B6</x:f>
        <x:v>16325623</x:v>
      </x:c>
      <x:c r="C6" s="20" t="n">
        <x:f>'Fictional Inputs'!C6</x:f>
        <x:v>16667000</x:v>
      </x:c>
      <x:c r="D6" s="20" t="n">
        <x:f>C6-B6</x:f>
        <x:v>341377</x:v>
      </x:c>
      <x:c r="E6" s="2" t="n">
        <x:f>IFERROR(D6/B6,0)</x:f>
        <x:v>0.020910503691038314</x:v>
      </x:c>
      <x:c r="F6" s="20" t="n">
        <x:f>'Fictional Inputs'!D6</x:f>
        <x:v>12503000</x:v>
      </x:c>
      <x:c r="G6" s="20" t="n">
        <x:f>'Fictional Inputs'!E6</x:f>
        <x:v>12152000</x:v>
      </x:c>
      <x:c r="H6" s="20" t="n">
        <x:f>F6-G6</x:f>
        <x:v>351000</x:v>
      </x:c>
      <x:c r="I6" s="20" t="n">
        <x:f>B6-F6</x:f>
        <x:v>3822623</x:v>
      </x:c>
      <x:c r="J6" s="20" t="n">
        <x:f>C6-G6</x:f>
        <x:v>4515000</x:v>
      </x:c>
      <x:c r="K6" s="20" t="n">
        <x:f>J6-I6</x:f>
        <x:v>692377</x:v>
      </x:c>
      <x:c r="L6" s="2" t="n">
        <x:f>IFERROR(J6/C6,0)</x:f>
        <x:v>0.2708945821083578</x:v>
      </x:c>
      <x:c r="M6" s="20" t="n">
        <x:f>J6</x:f>
        <x:v>4515000</x:v>
      </x:c>
      <x:c r="N6" s="20" t="n">
        <x:f>'Fictional Inputs'!F6</x:f>
        <x:v>16131000</x:v>
      </x:c>
      <x:c r="O6" s="2" t="n">
        <x:f>IFERROR((C6-N6)/N6,0)</x:f>
        <x:v>0.03322794619056475</x:v>
      </x:c>
    </x:row>
    <x:row r="7">
      <x:c r="A7" t="str">
        <x:f>'Fictional Inputs'!A7</x:f>
        <x:v>Apr</x:v>
      </x:c>
      <x:c r="B7" s="20" t="n">
        <x:f>'Fictional Inputs'!B7</x:f>
        <x:v>17415484</x:v>
      </x:c>
      <x:c r="C7" s="20" t="n">
        <x:f>'Fictional Inputs'!C7</x:f>
        <x:v>17008000</x:v>
      </x:c>
      <x:c r="D7" s="20" t="n">
        <x:f>C7-B7</x:f>
        <x:v>-407484</x:v>
      </x:c>
      <x:c r="E7" s="2" t="n">
        <x:f>IFERROR(D7/B7,0)</x:f>
        <x:v>-0.02339779933764689</x:v>
      </x:c>
      <x:c r="F7" s="20" t="n">
        <x:f>'Fictional Inputs'!D7</x:f>
        <x:v>12924000</x:v>
      </x:c>
      <x:c r="G7" s="20" t="n">
        <x:f>'Fictional Inputs'!E7</x:f>
        <x:v>12583000</x:v>
      </x:c>
      <x:c r="H7" s="20" t="n">
        <x:f>F7-G7</x:f>
        <x:v>341000</x:v>
      </x:c>
      <x:c r="I7" s="20" t="n">
        <x:f>B7-F7</x:f>
        <x:v>4491484</x:v>
      </x:c>
      <x:c r="J7" s="20" t="n">
        <x:f>C7-G7</x:f>
        <x:v>4425000</x:v>
      </x:c>
      <x:c r="K7" s="20" t="n">
        <x:f>J7-I7</x:f>
        <x:v>-66484</x:v>
      </x:c>
      <x:c r="L7" s="2" t="n">
        <x:f>IFERROR(J7/C7,0)</x:f>
        <x:v>0.26017168391345247</x:v>
      </x:c>
      <x:c r="M7" s="20" t="n">
        <x:f>J7</x:f>
        <x:v>4425000</x:v>
      </x:c>
      <x:c r="N7" s="20" t="n">
        <x:f>'Fictional Inputs'!F7</x:f>
        <x:v>17883000</x:v>
      </x:c>
      <x:c r="O7" s="2" t="n">
        <x:f>IFERROR((C7-N7)/N7,0)</x:f>
        <x:v>-0.04892915058994576</x:v>
      </x:c>
    </x:row>
    <x:row r="8">
      <x:c r="A8" t="str">
        <x:f>'Fictional Inputs'!A8</x:f>
        <x:v>May</x:v>
      </x:c>
      <x:c r="B8" s="20" t="n">
        <x:f>'Fictional Inputs'!B8</x:f>
        <x:v>17607496</x:v>
      </x:c>
      <x:c r="C8" s="20" t="n">
        <x:f>'Fictional Inputs'!C8</x:f>
        <x:v>17957000</x:v>
      </x:c>
      <x:c r="D8" s="20" t="n">
        <x:f>C8-B8</x:f>
        <x:v>349504</x:v>
      </x:c>
      <x:c r="E8" s="2" t="n">
        <x:f>IFERROR(D8/B8,0)</x:f>
        <x:v>0.019849727638728415</x:v>
      </x:c>
      <x:c r="F8" s="20" t="n">
        <x:f>'Fictional Inputs'!D8</x:f>
        <x:v>13606000</x:v>
      </x:c>
      <x:c r="G8" s="20" t="n">
        <x:f>'Fictional Inputs'!E8</x:f>
        <x:v>13262000</x:v>
      </x:c>
      <x:c r="H8" s="20" t="n">
        <x:f>F8-G8</x:f>
        <x:v>344000</x:v>
      </x:c>
      <x:c r="I8" s="20" t="n">
        <x:f>B8-F8</x:f>
        <x:v>4001496</x:v>
      </x:c>
      <x:c r="J8" s="20" t="n">
        <x:f>C8-G8</x:f>
        <x:v>4695000</x:v>
      </x:c>
      <x:c r="K8" s="20" t="n">
        <x:f>J8-I8</x:f>
        <x:v>693504</x:v>
      </x:c>
      <x:c r="L8" s="2" t="n">
        <x:f>IFERROR(J8/C8,0)</x:f>
        <x:v>0.2614579272707022</x:v>
      </x:c>
      <x:c r="M8" s="20" t="n">
        <x:f>J8</x:f>
        <x:v>4695000</x:v>
      </x:c>
      <x:c r="N8" s="20" t="n">
        <x:f>'Fictional Inputs'!F8</x:f>
        <x:v>17647000</x:v>
      </x:c>
      <x:c r="O8" s="2" t="n">
        <x:f>IFERROR((C8-N8)/N8,0)</x:f>
        <x:v>0.01756672522241741</x:v>
      </x:c>
    </x:row>
    <x:row r="9">
      <x:c r="A9" t="str">
        <x:f>'Fictional Inputs'!A9</x:f>
        <x:v>Jun</x:v>
      </x:c>
      <x:c r="B9" s="20" t="n">
        <x:f>'Fictional Inputs'!B9</x:f>
        <x:v>18631161</x:v>
      </x:c>
      <x:c r="C9" s="20" t="n">
        <x:f>'Fictional Inputs'!C9</x:f>
        <x:v>18911000</x:v>
      </x:c>
      <x:c r="D9" s="20" t="n">
        <x:f>C9-B9</x:f>
        <x:v>279839</x:v>
      </x:c>
      <x:c r="E9" s="2" t="n">
        <x:f>IFERROR(D9/B9,0)</x:f>
        <x:v>0.01501994427507765</x:v>
      </x:c>
      <x:c r="F9" s="20" t="n">
        <x:f>'Fictional Inputs'!D9</x:f>
        <x:v>14311000</x:v>
      </x:c>
      <x:c r="G9" s="20" t="n">
        <x:f>'Fictional Inputs'!E9</x:f>
        <x:v>14926000</x:v>
      </x:c>
      <x:c r="H9" s="20" t="n">
        <x:f>F9-G9</x:f>
        <x:v>-615000</x:v>
      </x:c>
      <x:c r="I9" s="20" t="n">
        <x:f>B9-F9</x:f>
        <x:v>4320161</x:v>
      </x:c>
      <x:c r="J9" s="20" t="n">
        <x:f>C9-G9</x:f>
        <x:v>3985000</x:v>
      </x:c>
      <x:c r="K9" s="20" t="n">
        <x:f>J9-I9</x:f>
        <x:v>-335161</x:v>
      </x:c>
      <x:c r="L9" s="2" t="n">
        <x:f>IFERROR(J9/C9,0)</x:f>
        <x:v>0.2107239172968114</x:v>
      </x:c>
      <x:c r="M9" s="20" t="n">
        <x:f>J9</x:f>
        <x:v>3985000</x:v>
      </x:c>
      <x:c r="N9" s="20" t="n">
        <x:f>'Fictional Inputs'!F9</x:f>
        <x:v>18291000</x:v>
      </x:c>
      <x:c r="O9" s="2" t="n">
        <x:f>IFERROR((C9-N9)/N9,0)</x:f>
        <x:v>0.03389645180689957</x:v>
      </x:c>
    </x:row>
    <x:row r="10">
      <x:c r="A10" t="str">
        <x:f>'Fictional Inputs'!A10</x:f>
        <x:v>Jul</x:v>
      </x:c>
      <x:c r="B10" s="20" t="n">
        <x:f>'Fictional Inputs'!B10</x:f>
        <x:v>18632127</x:v>
      </x:c>
      <x:c r="C10" s="20" t="n">
        <x:f>'Fictional Inputs'!C10</x:f>
        <x:v>18992000</x:v>
      </x:c>
      <x:c r="D10" s="20" t="n">
        <x:f>C10-B10</x:f>
        <x:v>359873</x:v>
      </x:c>
      <x:c r="E10" s="2" t="n">
        <x:f>IFERROR(D10/B10,0)</x:f>
        <x:v>0.019314649368802606</x:v>
      </x:c>
      <x:c r="F10" s="20" t="n">
        <x:f>'Fictional Inputs'!D10</x:f>
        <x:v>14563000</x:v>
      </x:c>
      <x:c r="G10" s="20" t="n">
        <x:f>'Fictional Inputs'!E10</x:f>
        <x:v>13956000</x:v>
      </x:c>
      <x:c r="H10" s="20" t="n">
        <x:f>F10-G10</x:f>
        <x:v>607000</x:v>
      </x:c>
      <x:c r="I10" s="20" t="n">
        <x:f>B10-F10</x:f>
        <x:v>4069127</x:v>
      </x:c>
      <x:c r="J10" s="20" t="n">
        <x:f>C10-G10</x:f>
        <x:v>5036000</x:v>
      </x:c>
      <x:c r="K10" s="20" t="n">
        <x:f>J10-I10</x:f>
        <x:v>966873</x:v>
      </x:c>
      <x:c r="L10" s="2" t="n">
        <x:f>IFERROR(J10/C10,0)</x:f>
        <x:v>0.2651642796967144</x:v>
      </x:c>
      <x:c r="M10" s="20" t="n">
        <x:f>J10</x:f>
        <x:v>5036000</x:v>
      </x:c>
      <x:c r="N10" s="20" t="n">
        <x:f>'Fictional Inputs'!F10</x:f>
        <x:v>19152000</x:v>
      </x:c>
      <x:c r="O10" s="2" t="n">
        <x:f>IFERROR((C10-N10)/N10,0)</x:f>
        <x:v>-0.00835421888053467</x:v>
      </x:c>
    </x:row>
    <x:row r="11">
      <x:c r="A11" t="str">
        <x:f>'Fictional Inputs'!A11</x:f>
        <x:v>Aug</x:v>
      </x:c>
      <x:c r="B11" s="20" t="n">
        <x:f>'Fictional Inputs'!B11</x:f>
        <x:v>17918510</x:v>
      </x:c>
      <x:c r="C11" s="20" t="n">
        <x:f>'Fictional Inputs'!C11</x:f>
        <x:v>16857000</x:v>
      </x:c>
      <x:c r="D11" s="20" t="n">
        <x:f>C11-B11</x:f>
        <x:v>-1061510</x:v>
      </x:c>
      <x:c r="E11" s="2" t="n">
        <x:f>IFERROR(D11/B11,0)</x:f>
        <x:v>-0.059240974835519246</x:v>
      </x:c>
      <x:c r="F11" s="20" t="n">
        <x:f>'Fictional Inputs'!D11</x:f>
        <x:v>13648000</x:v>
      </x:c>
      <x:c r="G11" s="20" t="n">
        <x:f>'Fictional Inputs'!E11</x:f>
        <x:v>13099000</x:v>
      </x:c>
      <x:c r="H11" s="20" t="n">
        <x:f>F11-G11</x:f>
        <x:v>549000</x:v>
      </x:c>
      <x:c r="I11" s="20" t="n">
        <x:f>B11-F11</x:f>
        <x:v>4270510</x:v>
      </x:c>
      <x:c r="J11" s="20" t="n">
        <x:f>C11-G11</x:f>
        <x:v>3758000</x:v>
      </x:c>
      <x:c r="K11" s="20" t="n">
        <x:f>J11-I11</x:f>
        <x:v>-512510</x:v>
      </x:c>
      <x:c r="L11" s="2" t="n">
        <x:f>IFERROR(J11/C11,0)</x:f>
        <x:v>0.22293409266180222</x:v>
      </x:c>
      <x:c r="M11" s="20" t="n">
        <x:f>J11</x:f>
        <x:v>3758000</x:v>
      </x:c>
      <x:c r="N11" s="20" t="n">
        <x:f>'Fictional Inputs'!F11</x:f>
        <x:v>18490000</x:v>
      </x:c>
      <x:c r="O11" s="2" t="n">
        <x:f>IFERROR((C11-N11)/N11,0)</x:f>
        <x:v>-0.08831800973499189</x:v>
      </x:c>
    </x:row>
    <x:row r="12">
      <x:c r="A12" t="str">
        <x:f>'Fictional Inputs'!A12</x:f>
        <x:v>Sep</x:v>
      </x:c>
      <x:c r="B12" s="20" t="n">
        <x:f>'Fictional Inputs'!B12</x:f>
        <x:v>18974611</x:v>
      </x:c>
      <x:c r="C12" s="20" t="n">
        <x:f>'Fictional Inputs'!C12</x:f>
        <x:v>20040000</x:v>
      </x:c>
      <x:c r="D12" s="20" t="n">
        <x:f>C12-B12</x:f>
        <x:v>1065389</x:v>
      </x:c>
      <x:c r="E12" s="2" t="n">
        <x:f>IFERROR(D12/B12,0)</x:f>
        <x:v>0.05614813394593438</x:v>
      </x:c>
      <x:c r="F12" s="20" t="n">
        <x:f>'Fictional Inputs'!D12</x:f>
        <x:v>13983000</x:v>
      </x:c>
      <x:c r="G12" s="20" t="n">
        <x:f>'Fictional Inputs'!E12</x:f>
        <x:v>15393000</x:v>
      </x:c>
      <x:c r="H12" s="20" t="n">
        <x:f>F12-G12</x:f>
        <x:v>-1410000</x:v>
      </x:c>
      <x:c r="I12" s="20" t="n">
        <x:f>B12-F12</x:f>
        <x:v>4991611</x:v>
      </x:c>
      <x:c r="J12" s="20" t="n">
        <x:f>C12-G12</x:f>
        <x:v>4647000</x:v>
      </x:c>
      <x:c r="K12" s="20" t="n">
        <x:f>J12-I12</x:f>
        <x:v>-344611</x:v>
      </x:c>
      <x:c r="L12" s="2" t="n">
        <x:f>IFERROR(J12/C12,0)</x:f>
        <x:v>0.23188622754491017</x:v>
      </x:c>
      <x:c r="M12" s="20" t="n">
        <x:f>J12</x:f>
        <x:v>4647000</x:v>
      </x:c>
      <x:c r="N12" s="20" t="n">
        <x:f>'Fictional Inputs'!F12</x:f>
        <x:v>19225000</x:v>
      </x:c>
      <x:c r="O12" s="2" t="n">
        <x:f>IFERROR((C12-N12)/N12,0)</x:f>
        <x:v>0.0423927178153446</x:v>
      </x:c>
    </x:row>
    <x:row r="13">
      <x:c r="A13" t="str">
        <x:f>'Fictional Inputs'!A13</x:f>
        <x:v>Oct</x:v>
      </x:c>
      <x:c r="B13" s="20" t="n">
        <x:f>'Fictional Inputs'!B13</x:f>
        <x:v>19648856</x:v>
      </x:c>
      <x:c r="C13" s="20" t="n">
        <x:f>'Fictional Inputs'!C13</x:f>
        <x:v>20800000</x:v>
      </x:c>
      <x:c r="D13" s="20" t="n">
        <x:f>C13-B13</x:f>
        <x:v>1151144</x:v>
      </x:c>
      <x:c r="E13" s="2" t="n">
        <x:f>IFERROR(D13/B13,0)</x:f>
        <x:v>0.05858580265436319</x:v>
      </x:c>
      <x:c r="F13" s="20" t="n">
        <x:f>'Fictional Inputs'!D13</x:f>
        <x:v>15309000</x:v>
      </x:c>
      <x:c r="G13" s="20" t="n">
        <x:f>'Fictional Inputs'!E13</x:f>
        <x:v>16135000</x:v>
      </x:c>
      <x:c r="H13" s="20" t="n">
        <x:f>F13-G13</x:f>
        <x:v>-826000</x:v>
      </x:c>
      <x:c r="I13" s="20" t="n">
        <x:f>B13-F13</x:f>
        <x:v>4339856</x:v>
      </x:c>
      <x:c r="J13" s="20" t="n">
        <x:f>C13-G13</x:f>
        <x:v>4665000</x:v>
      </x:c>
      <x:c r="K13" s="20" t="n">
        <x:f>J13-I13</x:f>
        <x:v>325144</x:v>
      </x:c>
      <x:c r="L13" s="2" t="n">
        <x:f>IFERROR(J13/C13,0)</x:f>
        <x:v>0.22427884615384616</x:v>
      </x:c>
      <x:c r="M13" s="20" t="n">
        <x:f>J13</x:f>
        <x:v>4665000</x:v>
      </x:c>
      <x:c r="N13" s="20" t="n">
        <x:f>'Fictional Inputs'!F13</x:f>
        <x:v>20255000</x:v>
      </x:c>
      <x:c r="O13" s="2" t="n">
        <x:f>IFERROR((C13-N13)/N13,0)</x:f>
        <x:v>0.026906936558874352</x:v>
      </x:c>
    </x:row>
    <x:row r="14">
      <x:c r="A14" t="str">
        <x:f>'Fictional Inputs'!A14</x:f>
        <x:v>Nov</x:v>
      </x:c>
      <x:c r="B14" s="20" t="n">
        <x:f>'Fictional Inputs'!B14</x:f>
        <x:v>18962586</x:v>
      </x:c>
      <x:c r="C14" s="20" t="n">
        <x:f>'Fictional Inputs'!C14</x:f>
        <x:v>17582000</x:v>
      </x:c>
      <x:c r="D14" s="20" t="n">
        <x:f>C14-B14</x:f>
        <x:v>-1380586</x:v>
      </x:c>
      <x:c r="E14" s="2" t="n">
        <x:f>IFERROR(D14/B14,0)</x:f>
        <x:v>-0.07280578714316707</x:v>
      </x:c>
      <x:c r="F14" s="20" t="n">
        <x:f>'Fictional Inputs'!D14</x:f>
        <x:v>14796000</x:v>
      </x:c>
      <x:c r="G14" s="20" t="n">
        <x:f>'Fictional Inputs'!E14</x:f>
        <x:v>13667000</x:v>
      </x:c>
      <x:c r="H14" s="20" t="n">
        <x:f>F14-G14</x:f>
        <x:v>1129000</x:v>
      </x:c>
      <x:c r="I14" s="20" t="n">
        <x:f>B14-F14</x:f>
        <x:v>4166586</x:v>
      </x:c>
      <x:c r="J14" s="20" t="n">
        <x:f>C14-G14</x:f>
        <x:v>3915000</x:v>
      </x:c>
      <x:c r="K14" s="20" t="n">
        <x:f>J14-I14</x:f>
        <x:v>-251586</x:v>
      </x:c>
      <x:c r="L14" s="2" t="n">
        <x:f>IFERROR(J14/C14,0)</x:f>
        <x:v>0.22267091343419407</x:v>
      </x:c>
      <x:c r="M14" s="20" t="n">
        <x:f>J14</x:f>
        <x:v>3915000</x:v>
      </x:c>
      <x:c r="N14" s="20" t="n">
        <x:f>'Fictional Inputs'!F14</x:f>
        <x:v>18555000</x:v>
      </x:c>
      <x:c r="O14" s="2" t="n">
        <x:f>IFERROR((C14-N14)/N14,0)</x:f>
        <x:v>-0.05243869576933441</x:v>
      </x:c>
    </x:row>
    <x:row r="15">
      <x:c r="A15" t="str">
        <x:f>'Fictional Inputs'!A15</x:f>
        <x:v>Dec</x:v>
      </x:c>
      <x:c r="B15" s="20" t="n">
        <x:f>'Fictional Inputs'!B15</x:f>
        <x:v>20007349</x:v>
      </x:c>
      <x:c r="C15" s="20" t="n">
        <x:f>'Fictional Inputs'!C15</x:f>
        <x:v>20354000</x:v>
      </x:c>
      <x:c r="D15" s="20" t="n">
        <x:f>C15-B15</x:f>
        <x:v>346651</x:v>
      </x:c>
      <x:c r="E15" s="2" t="n">
        <x:f>IFERROR(D15/B15,0)</x:f>
        <x:v>0.017326183493875175</x:v>
      </x:c>
      <x:c r="F15" s="20" t="n">
        <x:f>'Fictional Inputs'!D15</x:f>
        <x:v>15399000</x:v>
      </x:c>
      <x:c r="G15" s="20" t="n">
        <x:f>'Fictional Inputs'!E15</x:f>
        <x:v>15411000</x:v>
      </x:c>
      <x:c r="H15" s="20" t="n">
        <x:f>F15-G15</x:f>
        <x:v>-12000</x:v>
      </x:c>
      <x:c r="I15" s="20" t="n">
        <x:f>B15-F15</x:f>
        <x:v>4608349</x:v>
      </x:c>
      <x:c r="J15" s="20" t="n">
        <x:f>C15-G15</x:f>
        <x:v>4943000</x:v>
      </x:c>
      <x:c r="K15" s="20" t="n">
        <x:f>J15-I15</x:f>
        <x:v>334651</x:v>
      </x:c>
      <x:c r="L15" s="2" t="n">
        <x:f>IFERROR(J15/C15,0)</x:f>
        <x:v>0.24285152795519308</x:v>
      </x:c>
      <x:c r="M15" s="20" t="n">
        <x:f>J15</x:f>
        <x:v>4943000</x:v>
      </x:c>
      <x:c r="N15" s="20" t="n">
        <x:f>'Fictional Inputs'!F15</x:f>
        <x:v>20074000</x:v>
      </x:c>
      <x:c r="O15" s="2" t="n">
        <x:f>IFERROR((C15-N15)/N15,0)</x:f>
        <x:v>0.013948390953472153</x:v>
      </x:c>
    </x:row>
    <x:row r="16">
      <x:c r="B16" s="20"/>
      <x:c r="C16" s="20"/>
      <x:c r="D16" s="20"/>
      <x:c r="E16" s="2"/>
      <x:c r="F16" s="20"/>
      <x:c r="G16" s="20"/>
      <x:c r="H16" s="20"/>
      <x:c r="I16" s="20"/>
      <x:c r="J16" s="20"/>
      <x:c r="K16" s="20"/>
      <x:c r="L16" s="2"/>
      <x:c r="M16" s="20"/>
      <x:c r="N16" s="20"/>
      <x:c r="O16" s="2"/>
    </x:row>
    <x:row r="17" ht="26" customHeight="1">
      <x:c r="A17" s="25" t="str">
        <x:v>FY TOTAL</x:v>
      </x:c>
      <x:c r="B17" s="26" t="n">
        <x:f>SUM(B4:B15)</x:f>
        <x:v>217160113</x:v>
      </x:c>
      <x:c r="C17" s="26" t="n">
        <x:f>SUM(C4:C15)</x:f>
        <x:v>217240000</x:v>
      </x:c>
      <x:c r="D17" s="26" t="n">
        <x:f>SUM(D4:D15)</x:f>
        <x:v>79887</x:v>
      </x:c>
      <x:c r="E17" s="27" t="n">
        <x:f>IFERROR(D17/B17,0)</x:f>
        <x:v>0.0003678714239755438</x:v>
      </x:c>
      <x:c r="F17" s="26" t="n">
        <x:f>SUM(F4:F15)</x:f>
        <x:v>165607000</x:v>
      </x:c>
      <x:c r="G17" s="26" t="n">
        <x:f>SUM(G4:G15)</x:f>
        <x:v>165854000</x:v>
      </x:c>
      <x:c r="H17" s="26" t="n">
        <x:f>SUM(H4:H15)</x:f>
        <x:v>-247000</x:v>
      </x:c>
      <x:c r="I17" s="26" t="n">
        <x:f>SUM(I4:I15)</x:f>
        <x:v>51553113</x:v>
      </x:c>
      <x:c r="J17" s="26" t="n">
        <x:f>SUM(J4:J15)</x:f>
        <x:v>51386000</x:v>
      </x:c>
      <x:c r="K17" s="26" t="n">
        <x:f>SUM(K4:K15)</x:f>
        <x:v>-167113</x:v>
      </x:c>
      <x:c r="L17" s="27" t="n">
        <x:f>IFERROR(J17/C17,0)</x:f>
        <x:v>0.23654023200147303</x:v>
      </x:c>
      <x:c r="M17" s="26" t="n">
        <x:f>SUM(M4:M15)</x:f>
        <x:v>51386000</x:v>
      </x:c>
      <x:c r="N17" s="26" t="n">
        <x:f>SUM(N4:N15)</x:f>
        <x:v>219140000</x:v>
      </x:c>
      <x:c r="O17" s="27" t="n">
        <x:f>IFERROR((C17-N17)/N17,0)</x:f>
        <x:v>-0.008670256457059414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7" t="str">
        <x:v>FY2026 FICTIONAL FINANCIAL INPUTS</x:v>
      </x:c>
      <x:c r="B1" s="7" t="str"/>
      <x:c r="C1" s="7" t="str"/>
      <x:c r="D1" s="7" t="str"/>
      <x:c r="E1" s="7" t="str"/>
      <x:c r="F1" s="7" t="str"/>
      <x:c r="G1" s="7" t="str"/>
    </x:row>
    <x:row r="3" ht="30" customHeight="1">
      <x:c r="A3" s="12" t="str">
        <x:v>Month</x:v>
      </x:c>
      <x:c r="B3" s="12" t="str">
        <x:v>Revenue Budget (RM)</x:v>
      </x:c>
      <x:c r="C3" s="12" t="str">
        <x:v>Revenue Actual (RM)</x:v>
      </x:c>
      <x:c r="D3" s="12" t="str">
        <x:v>Cost Budget (RM)</x:v>
      </x:c>
      <x:c r="E3" s="12" t="str">
        <x:v>Cost Actual (RM)</x:v>
      </x:c>
      <x:c r="F3" s="12" t="str">
        <x:v>Revenue Forecast (RM)</x:v>
      </x:c>
      <x:c r="G3" s="12" t="str">
        <x:v>Cost Forecast (RM)</x:v>
      </x:c>
    </x:row>
    <x:row r="4">
      <x:c r="A4" t="str">
        <x:v>Jan</x:v>
      </x:c>
      <x:c r="B4" s="18" t="n">
        <x:v>16282605</x:v>
      </x:c>
      <x:c r="C4" s="18" t="n">
        <x:v>16639000</x:v>
      </x:c>
      <x:c r="D4" s="18" t="n">
        <x:v>12112000</x:v>
      </x:c>
      <x:c r="E4" s="18" t="n">
        <x:v>13109000</x:v>
      </x:c>
      <x:c r="F4" s="18" t="n">
        <x:v>16282000</x:v>
      </x:c>
      <x:c r="G4" s="18" t="n">
        <x:v>12537000</x:v>
      </x:c>
    </x:row>
    <x:row r="5">
      <x:c r="A5" t="str">
        <x:v>Feb</x:v>
      </x:c>
      <x:c r="B5" s="18" t="n">
        <x:v>16753705</x:v>
      </x:c>
      <x:c r="C5" s="18" t="n">
        <x:v>15433000</x:v>
      </x:c>
      <x:c r="D5" s="18" t="n">
        <x:v>12453000</x:v>
      </x:c>
      <x:c r="E5" s="18" t="n">
        <x:v>12161000</x:v>
      </x:c>
      <x:c r="F5" s="18" t="n">
        <x:v>17155000</x:v>
      </x:c>
      <x:c r="G5" s="18" t="n">
        <x:v>13209000</x:v>
      </x:c>
    </x:row>
    <x:row r="6">
      <x:c r="A6" t="str">
        <x:v>Mar</x:v>
      </x:c>
      <x:c r="B6" s="18" t="n">
        <x:v>16325623</x:v>
      </x:c>
      <x:c r="C6" s="18" t="n">
        <x:v>16667000</x:v>
      </x:c>
      <x:c r="D6" s="18" t="n">
        <x:v>12503000</x:v>
      </x:c>
      <x:c r="E6" s="18" t="n">
        <x:v>12152000</x:v>
      </x:c>
      <x:c r="F6" s="18" t="n">
        <x:v>16131000</x:v>
      </x:c>
      <x:c r="G6" s="18" t="n">
        <x:v>12421000</x:v>
      </x:c>
    </x:row>
    <x:row r="7">
      <x:c r="A7" t="str">
        <x:v>Apr</x:v>
      </x:c>
      <x:c r="B7" s="18" t="n">
        <x:v>17415484</x:v>
      </x:c>
      <x:c r="C7" s="18" t="n">
        <x:v>17008000</x:v>
      </x:c>
      <x:c r="D7" s="18" t="n">
        <x:v>12924000</x:v>
      </x:c>
      <x:c r="E7" s="18" t="n">
        <x:v>12583000</x:v>
      </x:c>
      <x:c r="F7" s="18" t="n">
        <x:v>17883000</x:v>
      </x:c>
      <x:c r="G7" s="18" t="n">
        <x:v>13770000</x:v>
      </x:c>
    </x:row>
    <x:row r="8">
      <x:c r="A8" t="str">
        <x:v>May</x:v>
      </x:c>
      <x:c r="B8" s="18" t="n">
        <x:v>17607496</x:v>
      </x:c>
      <x:c r="C8" s="18" t="n">
        <x:v>17957000</x:v>
      </x:c>
      <x:c r="D8" s="18" t="n">
        <x:v>13606000</x:v>
      </x:c>
      <x:c r="E8" s="18" t="n">
        <x:v>13262000</x:v>
      </x:c>
      <x:c r="F8" s="18" t="n">
        <x:v>17647000</x:v>
      </x:c>
      <x:c r="G8" s="18" t="n">
        <x:v>13588000</x:v>
      </x:c>
    </x:row>
    <x:row r="9">
      <x:c r="A9" t="str">
        <x:v>Jun</x:v>
      </x:c>
      <x:c r="B9" s="18" t="n">
        <x:v>18631161</x:v>
      </x:c>
      <x:c r="C9" s="18" t="n">
        <x:v>18911000</x:v>
      </x:c>
      <x:c r="D9" s="18" t="n">
        <x:v>14311000</x:v>
      </x:c>
      <x:c r="E9" s="18" t="n">
        <x:v>14926000</x:v>
      </x:c>
      <x:c r="F9" s="18" t="n">
        <x:v>18291000</x:v>
      </x:c>
      <x:c r="G9" s="18" t="n">
        <x:v>14084000</x:v>
      </x:c>
    </x:row>
    <x:row r="10">
      <x:c r="A10" t="str">
        <x:v>Jul</x:v>
      </x:c>
      <x:c r="B10" s="18" t="n">
        <x:v>18632127</x:v>
      </x:c>
      <x:c r="C10" s="18" t="n">
        <x:v>18992000</x:v>
      </x:c>
      <x:c r="D10" s="18" t="n">
        <x:v>14563000</x:v>
      </x:c>
      <x:c r="E10" s="18" t="n">
        <x:v>13956000</x:v>
      </x:c>
      <x:c r="F10" s="18" t="n">
        <x:v>19152000</x:v>
      </x:c>
      <x:c r="G10" s="18" t="n">
        <x:v>14747000</x:v>
      </x:c>
    </x:row>
    <x:row r="11">
      <x:c r="A11" t="str">
        <x:v>Aug</x:v>
      </x:c>
      <x:c r="B11" s="18" t="n">
        <x:v>17918510</x:v>
      </x:c>
      <x:c r="C11" s="18" t="n">
        <x:v>16857000</x:v>
      </x:c>
      <x:c r="D11" s="18" t="n">
        <x:v>13648000</x:v>
      </x:c>
      <x:c r="E11" s="18" t="n">
        <x:v>13099000</x:v>
      </x:c>
      <x:c r="F11" s="18" t="n">
        <x:v>18490000</x:v>
      </x:c>
      <x:c r="G11" s="18" t="n">
        <x:v>14237000</x:v>
      </x:c>
    </x:row>
    <x:row r="12">
      <x:c r="A12" t="str">
        <x:v>Sep</x:v>
      </x:c>
      <x:c r="B12" s="18" t="n">
        <x:v>18974611</x:v>
      </x:c>
      <x:c r="C12" s="18" t="n">
        <x:v>20040000</x:v>
      </x:c>
      <x:c r="D12" s="18" t="n">
        <x:v>13983000</x:v>
      </x:c>
      <x:c r="E12" s="18" t="n">
        <x:v>15393000</x:v>
      </x:c>
      <x:c r="F12" s="18" t="n">
        <x:v>19225000</x:v>
      </x:c>
      <x:c r="G12" s="18" t="n">
        <x:v>14803000</x:v>
      </x:c>
    </x:row>
    <x:row r="13">
      <x:c r="A13" t="str">
        <x:v>Oct</x:v>
      </x:c>
      <x:c r="B13" s="18" t="n">
        <x:v>19648856</x:v>
      </x:c>
      <x:c r="C13" s="18" t="n">
        <x:v>20800000</x:v>
      </x:c>
      <x:c r="D13" s="18" t="n">
        <x:v>15309000</x:v>
      </x:c>
      <x:c r="E13" s="18" t="n">
        <x:v>16135000</x:v>
      </x:c>
      <x:c r="F13" s="18" t="n">
        <x:v>20255000</x:v>
      </x:c>
      <x:c r="G13" s="18" t="n">
        <x:v>15596000</x:v>
      </x:c>
    </x:row>
    <x:row r="14">
      <x:c r="A14" t="str">
        <x:v>Nov</x:v>
      </x:c>
      <x:c r="B14" s="18" t="n">
        <x:v>18962586</x:v>
      </x:c>
      <x:c r="C14" s="18" t="n">
        <x:v>17582000</x:v>
      </x:c>
      <x:c r="D14" s="18" t="n">
        <x:v>14796000</x:v>
      </x:c>
      <x:c r="E14" s="18" t="n">
        <x:v>13667000</x:v>
      </x:c>
      <x:c r="F14" s="18" t="n">
        <x:v>18555000</x:v>
      </x:c>
      <x:c r="G14" s="18" t="n">
        <x:v>14287000</x:v>
      </x:c>
    </x:row>
    <x:row r="15">
      <x:c r="A15" t="str">
        <x:v>Dec</x:v>
      </x:c>
      <x:c r="B15" s="18" t="n">
        <x:v>20007349</x:v>
      </x:c>
      <x:c r="C15" s="18" t="n">
        <x:v>20354000</x:v>
      </x:c>
      <x:c r="D15" s="18" t="n">
        <x:v>15399000</x:v>
      </x:c>
      <x:c r="E15" s="18" t="n">
        <x:v>15411000</x:v>
      </x:c>
      <x:c r="F15" s="18" t="n">
        <x:v>20074000</x:v>
      </x:c>
      <x:c r="G15" s="18" t="n">
        <x:v>15457000</x:v>
      </x:c>
    </x:row>
    <x:row r="17">
      <x:c r="A17" t="str">
        <x:v>Data classification</x:v>
      </x:c>
      <x:c r="B17" t="str">
        <x:v>100% fictional data — for portfolio demonstration only</x:v>
      </x:c>
    </x:row>
    <x:row r="18">
      <x:c r="A18" t="str">
        <x:v>Cost definition</x:v>
      </x:c>
      <x:c r="B18" t="str">
        <x:v>Illustrative project direct costs + operating costs combined</x:v>
      </x:c>
    </x:row>
    <x:row r="19">
      <x:c r="A19" t="str">
        <x:v>EBITDA proxy</x:v>
      </x:c>
      <x:c r="B19" t="str">
        <x:v>Revenue minus modeled cost; excludes financing, tax, D&amp;A (not separately modeled)</x:v>
      </x:c>
    </x:row>
    <x:row r="20">
      <x:c r="A20" t="str">
        <x:v>Forecast definition</x:v>
      </x:c>
      <x:c r="B20" t="str">
        <x:v>Independent fictional full-year monthly forecast for comparison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4" customHeight="1">
      <x:c r="A1" s="7" t="str">
        <x:v>PROJECT 01 | FINANCIAL PERFORMANCE DASHBOARD</x:v>
      </x:c>
      <x:c r="B1" s="7"/>
    </x:row>
    <x:row r="3" ht="25" customHeight="1">
      <x:c r="A3" s="12" t="str">
        <x:v>Purpose</x:v>
      </x:c>
      <x:c r="B3" s="12" t="str">
        <x:v>Demonstrate budget-versus-actual review, forecast tracking, margins and executive insights.</x:v>
      </x:c>
    </x:row>
    <x:row r="4" ht="25" customHeight="1">
      <x:c r="A4" s="50" t="str">
        <x:v>Dataset</x:v>
      </x:c>
      <x:c r="B4" t="str">
        <x:v>Synthetic FY2026 monthly values only. Not actual results of any company.</x:v>
      </x:c>
    </x:row>
    <x:row r="5" ht="25" customHeight="1">
      <x:c r="A5" s="50" t="str">
        <x:v>1 — Inputs</x:v>
      </x:c>
      <x:c r="B5" t="str">
        <x:v>Change blue-number cells on Fictional Inputs. All calculations update.</x:v>
      </x:c>
    </x:row>
    <x:row r="6" ht="25" customHeight="1">
      <x:c r="A6" s="50" t="str">
        <x:v>2 — Analysis</x:v>
      </x:c>
      <x:c r="B6" t="str">
        <x:v>Monthly Performance calculates revenue, gross profit, favorable cost variance and forecast comparison.</x:v>
      </x:c>
    </x:row>
    <x:row r="7" ht="25" customHeight="1">
      <x:c r="A7" s="50" t="str">
        <x:v>3 — Dashboard</x:v>
      </x:c>
      <x:c r="B7" t="str">
        <x:v>Executive Dashboard displays formula-driven KPIs, trends and management commentary.</x:v>
      </x:c>
    </x:row>
    <x:row r="8" ht="25" customHeight="1">
      <x:c r="A8" s="50" t="str">
        <x:v>Revenue variance</x:v>
      </x:c>
      <x:c r="B8" t="str">
        <x:v>Actual revenue minus budget; positive is favorable.</x:v>
      </x:c>
    </x:row>
    <x:row r="9" ht="25" customHeight="1">
      <x:c r="A9" s="50" t="str">
        <x:v>Cost variance</x:v>
      </x:c>
      <x:c r="B9" t="str">
        <x:v>Budget cost minus actual cost; positive is favorable.</x:v>
      </x:c>
    </x:row>
    <x:row r="10" ht="25" customHeight="1">
      <x:c r="A10" s="50" t="str">
        <x:v>Gross profit</x:v>
      </x:c>
      <x:c r="B10" t="str">
        <x:v>Revenue minus illustrative modeled costs.</x:v>
      </x:c>
    </x:row>
    <x:row r="11" ht="25" customHeight="1">
      <x:c r="A11" s="50" t="str">
        <x:v>Gross profit margin</x:v>
      </x:c>
      <x:c r="B11" t="str">
        <x:v>Gross profit divided by actual revenue.</x:v>
      </x:c>
    </x:row>
    <x:row r="12" ht="25" customHeight="1">
      <x:c r="A12" s="50" t="str">
        <x:v>EBITDA proxy</x:v>
      </x:c>
      <x:c r="B12" t="str">
        <x:v>Equals modeled gross profit; NOT a true EBITDA reconciliation without separate operating expenses.</x:v>
      </x:c>
    </x:row>
    <x:row r="13" ht="25" customHeight="1">
      <x:c r="A13" s="50" t="str">
        <x:v>Forecast variance</x:v>
      </x:c>
      <x:c r="B13" t="str">
        <x:v>Actual revenue divided by forecast revenue, minus one.</x:v>
      </x:c>
    </x:row>
    <x:row r="14" ht="25" customHeight="1">
      <x:c r="A14" s="50" t="str">
        <x:v>Units</x:v>
      </x:c>
      <x:c r="B14" t="str">
        <x:v>Raw source sheets in RM; dashboard financial KPIs in RM millions.</x:v>
      </x:c>
    </x:row>
    <x:row r="15" ht="25" customHeight="1">
      <x:c r="A15" s="50" t="str">
        <x:v>Publishing</x:v>
      </x:c>
      <x:c r="B15" t="str">
        <x:v>Upload this workbook and README.md into 01-Financial-Performance-Dashboard/ on GitHub.</x:v>
      </x:c>
    </x:row>
    <x:row r="16" ht="25" customHeight="1">
      <x:c r="A16" s="50" t="str">
        <x:v>Confidentiality</x:v>
      </x:c>
      <x:c r="B16" t="str">
        <x:v>Do not replace sample inputs with nonpublic employer data.</x:v>
      </x:c>
    </x:row>
  </x:sheetData>
  <x:pageMargins left="0.7" right="0.7" top="0.75" bottom="0.75" header="0.3" footer="0.3"/>
</x:worksheet>
</file>